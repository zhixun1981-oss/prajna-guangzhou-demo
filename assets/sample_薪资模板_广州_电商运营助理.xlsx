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薪资结构" sheetId="1" state="visible" r:id="rId1"/>
    <sheet xmlns:r="http://schemas.openxmlformats.org/officeDocument/2006/relationships" name="绩效考核" sheetId="2" state="visible" r:id="rId2"/>
    <sheet xmlns:r="http://schemas.openxmlformats.org/officeDocument/2006/relationships" name="调薪机制" sheetId="3" state="visible" r:id="rId3"/>
    <sheet xmlns:r="http://schemas.openxmlformats.org/officeDocument/2006/relationships" name="奖金方案" sheetId="4" state="visible" r:id="rId4"/>
    <sheet xmlns:r="http://schemas.openxmlformats.org/officeDocument/2006/relationships" name="福利明细" sheetId="5" state="visible" r:id="rId5"/>
    <sheet xmlns:r="http://schemas.openxmlformats.org/officeDocument/2006/relationships" name="计算示例" sheetId="6" state="visible" r:id="rId6"/>
    <sheet xmlns:r="http://schemas.openxmlformats.org/officeDocument/2006/relationships" name="合规校验" sheetId="7" state="visible" r:id="rId7"/>
    <sheet xmlns:r="http://schemas.openxmlformats.org/officeDocument/2006/relationships" name="绩效系数对照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0"/>
    </font>
    <font>
      <name val="Arial"/>
      <color rgb="00000000"/>
      <sz val="10"/>
    </font>
    <font>
      <name val="Arial"/>
      <b val="1"/>
      <sz val="14"/>
    </font>
    <font>
      <name val="Arial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9" fontId="2" fillId="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9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薪资结构占比</a:t>
            </a:r>
          </a:p>
        </rich>
      </tx>
    </title>
    <plotArea>
      <pieChart>
        <varyColors val="1"/>
        <ser>
          <idx val="0"/>
          <order val="0"/>
          <tx>
            <strRef>
              <f>'计算示例'!B10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'计算示例'!$A$11:$A$18</f>
            </numRef>
          </cat>
          <val>
            <numRef>
              <f>'计算示例'!$B$11:$B$18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固定薪酬 vs 浮动薪酬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'计算示例'!F34</f>
            </strRef>
          </tx>
          <spPr>
            <a:ln xmlns:a="http://schemas.openxmlformats.org/drawingml/2006/main">
              <a:prstDash val="solid"/>
            </a:ln>
          </spPr>
          <cat>
            <numRef>
              <f>'计算示例'!$E$35:$E$37</f>
            </numRef>
          </cat>
          <val>
            <numRef>
              <f>'计算示例'!$F$35:$F$37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金额(元)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2" customWidth="1" min="12" max="12"/>
  </cols>
  <sheetData>
    <row r="1">
      <c r="A1" s="1" t="inlineStr">
        <is>
          <t>序号</t>
        </is>
      </c>
      <c r="B1" s="1" t="inlineStr">
        <is>
          <t>薪资项目</t>
        </is>
      </c>
      <c r="C1" s="1" t="inlineStr">
        <is>
          <t>项目类型</t>
        </is>
      </c>
      <c r="D1" s="1" t="inlineStr">
        <is>
          <t>金额(元)</t>
        </is>
      </c>
      <c r="E1" s="1" t="inlineStr">
        <is>
          <t>薪酬带宽 Min</t>
        </is>
      </c>
      <c r="F1" s="1" t="inlineStr">
        <is>
          <t>薪酬带宽 Mid</t>
        </is>
      </c>
      <c r="G1" s="1" t="inlineStr">
        <is>
          <t>薪酬带宽 Max</t>
        </is>
      </c>
      <c r="H1" s="1" t="inlineStr">
        <is>
          <t>比例</t>
        </is>
      </c>
      <c r="I1" s="1" t="inlineStr">
        <is>
          <t>计算基数</t>
        </is>
      </c>
      <c r="J1" s="1" t="inlineStr">
        <is>
          <t>计算方式</t>
        </is>
      </c>
      <c r="K1" s="1" t="inlineStr">
        <is>
          <t>发放周期</t>
        </is>
      </c>
      <c r="L1" s="1" t="inlineStr">
        <is>
          <t>备注</t>
        </is>
      </c>
    </row>
    <row r="2">
      <c r="A2" s="2" t="n">
        <v>1</v>
      </c>
      <c r="B2" s="3" t="inlineStr">
        <is>
          <t>基本工资</t>
        </is>
      </c>
      <c r="C2" s="3" t="inlineStr">
        <is>
          <t>固定薪资</t>
        </is>
      </c>
      <c r="D2" s="2" t="n">
        <v>4500</v>
      </c>
      <c r="E2" s="2" t="n">
        <v>3500</v>
      </c>
      <c r="F2" s="2" t="n">
        <v>4500</v>
      </c>
      <c r="G2" s="2" t="n">
        <v>6000</v>
      </c>
      <c r="H2" s="3" t="inlineStr">
        <is>
          <t>-</t>
        </is>
      </c>
      <c r="I2" s="3" t="inlineStr">
        <is>
          <t>合同约定</t>
        </is>
      </c>
      <c r="J2" s="3" t="inlineStr">
        <is>
          <t>按月固定发放</t>
        </is>
      </c>
      <c r="K2" s="3" t="inlineStr">
        <is>
          <t>月度</t>
        </is>
      </c>
      <c r="L2" s="3" t="inlineStr">
        <is>
          <t>当地最低工资以上</t>
        </is>
      </c>
    </row>
    <row r="3">
      <c r="A3" s="2" t="n">
        <v>2</v>
      </c>
      <c r="B3" s="3" t="inlineStr">
        <is>
          <t>岗位工资</t>
        </is>
      </c>
      <c r="C3" s="3" t="inlineStr">
        <is>
          <t>固定薪资</t>
        </is>
      </c>
      <c r="D3" s="2" t="n">
        <v>1800</v>
      </c>
      <c r="E3" s="2" t="n">
        <v>1200</v>
      </c>
      <c r="F3" s="2" t="n">
        <v>1800</v>
      </c>
      <c r="G3" s="2" t="n">
        <v>2500</v>
      </c>
      <c r="H3" s="3" t="inlineStr">
        <is>
          <t>-</t>
        </is>
      </c>
      <c r="I3" s="3" t="inlineStr">
        <is>
          <t>岗位职级</t>
        </is>
      </c>
      <c r="J3" s="3" t="inlineStr">
        <is>
          <t>按月固定发放</t>
        </is>
      </c>
      <c r="K3" s="3" t="inlineStr">
        <is>
          <t>月度</t>
        </is>
      </c>
      <c r="L3" s="3" t="inlineStr">
        <is>
          <t>根据岗位价值评估</t>
        </is>
      </c>
    </row>
    <row r="4">
      <c r="A4" s="4" t="n">
        <v>3</v>
      </c>
      <c r="B4" s="5" t="inlineStr">
        <is>
          <t>绩效工资</t>
        </is>
      </c>
      <c r="C4" s="5" t="inlineStr">
        <is>
          <t>浮动薪资</t>
        </is>
      </c>
      <c r="D4" s="4" t="n">
        <v>2000</v>
      </c>
      <c r="E4" s="4" t="n">
        <v>1200</v>
      </c>
      <c r="F4" s="4" t="n">
        <v>2000</v>
      </c>
      <c r="G4" s="4" t="n">
        <v>3000</v>
      </c>
      <c r="H4" s="5" t="inlineStr">
        <is>
          <t>-</t>
        </is>
      </c>
      <c r="I4" s="5" t="inlineStr">
        <is>
          <t>绩效考核得分</t>
        </is>
      </c>
      <c r="J4" s="5" t="inlineStr">
        <is>
          <t>绩效得分/100*标准</t>
        </is>
      </c>
      <c r="K4" s="5" t="inlineStr">
        <is>
          <t>月度</t>
        </is>
      </c>
      <c r="L4" s="5" t="inlineStr">
        <is>
          <t>与KPI挂钩</t>
        </is>
      </c>
    </row>
    <row r="5">
      <c r="A5" s="4" t="n">
        <v>4</v>
      </c>
      <c r="B5" s="5" t="inlineStr">
        <is>
          <t>加班工资</t>
        </is>
      </c>
      <c r="C5" s="5" t="inlineStr">
        <is>
          <t>浮动薪资</t>
        </is>
      </c>
      <c r="D5" s="4" t="n">
        <v>650</v>
      </c>
      <c r="E5" s="5" t="inlineStr">
        <is>
          <t>-</t>
        </is>
      </c>
      <c r="F5" s="5" t="inlineStr">
        <is>
          <t>-</t>
        </is>
      </c>
      <c r="G5" s="5" t="inlineStr">
        <is>
          <t>-</t>
        </is>
      </c>
      <c r="H5" s="5" t="inlineStr">
        <is>
          <t>-</t>
        </is>
      </c>
      <c r="I5" s="5" t="inlineStr">
        <is>
          <t>实际加班时长</t>
        </is>
      </c>
      <c r="J5" s="5" t="inlineStr">
        <is>
          <t>按劳动法1.5/2/3倍</t>
        </is>
      </c>
      <c r="K5" s="5" t="inlineStr">
        <is>
          <t>月度</t>
        </is>
      </c>
      <c r="L5" s="5" t="inlineStr">
        <is>
          <t>以基本工资为基数</t>
        </is>
      </c>
    </row>
    <row r="6">
      <c r="A6" s="2" t="n">
        <v>5</v>
      </c>
      <c r="B6" s="3" t="inlineStr">
        <is>
          <t>全勤奖</t>
        </is>
      </c>
      <c r="C6" s="3" t="inlineStr">
        <is>
          <t>津贴补贴</t>
        </is>
      </c>
      <c r="D6" s="2" t="n">
        <v>260</v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当月无缺勤</t>
        </is>
      </c>
      <c r="J6" s="3" t="inlineStr">
        <is>
          <t>满足条件全额发放</t>
        </is>
      </c>
      <c r="K6" s="3" t="inlineStr">
        <is>
          <t>月度</t>
        </is>
      </c>
      <c r="L6" s="3" t="inlineStr">
        <is>
          <t>迟到早退超3次取消</t>
        </is>
      </c>
    </row>
    <row r="7">
      <c r="A7" s="2" t="n">
        <v>6</v>
      </c>
      <c r="B7" s="3" t="inlineStr">
        <is>
          <t>餐补</t>
        </is>
      </c>
      <c r="C7" s="3" t="inlineStr">
        <is>
          <t>津贴补贴</t>
        </is>
      </c>
      <c r="D7" s="2" t="n">
        <v>376.55</v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出勤天数</t>
        </is>
      </c>
      <c r="J7" s="3" t="inlineStr">
        <is>
          <t>390/21.75*21</t>
        </is>
      </c>
      <c r="K7" s="3" t="inlineStr">
        <is>
          <t>月度</t>
        </is>
      </c>
      <c r="L7" s="3" t="inlineStr">
        <is>
          <t>按实际出勤计算</t>
        </is>
      </c>
    </row>
    <row r="8">
      <c r="A8" s="2" t="n">
        <v>7</v>
      </c>
      <c r="B8" s="3" t="inlineStr">
        <is>
          <t>交通补贴</t>
        </is>
      </c>
      <c r="C8" s="3" t="inlineStr">
        <is>
          <t>津贴补贴</t>
        </is>
      </c>
      <c r="D8" s="2" t="n">
        <v>260</v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固定</t>
        </is>
      </c>
      <c r="J8" s="3" t="inlineStr">
        <is>
          <t>按月固定发放</t>
        </is>
      </c>
      <c r="K8" s="3" t="inlineStr">
        <is>
          <t>月度</t>
        </is>
      </c>
      <c r="L8" s="3" t="inlineStr">
        <is>
          <t>外勤较多可上浮</t>
        </is>
      </c>
    </row>
    <row r="9">
      <c r="A9" s="2" t="n">
        <v>8</v>
      </c>
      <c r="B9" s="3" t="inlineStr">
        <is>
          <t>通讯补贴</t>
        </is>
      </c>
      <c r="C9" s="3" t="inlineStr">
        <is>
          <t>津贴补贴</t>
        </is>
      </c>
      <c r="D9" s="2" t="n">
        <v>130</v>
      </c>
      <c r="E9" s="3" t="inlineStr">
        <is>
          <t>-</t>
        </is>
      </c>
      <c r="F9" s="3" t="inlineStr">
        <is>
          <t>-</t>
        </is>
      </c>
      <c r="G9" s="3" t="inlineStr">
        <is>
          <t>-</t>
        </is>
      </c>
      <c r="H9" s="3" t="inlineStr">
        <is>
          <t>-</t>
        </is>
      </c>
      <c r="I9" s="3" t="inlineStr">
        <is>
          <t>固定</t>
        </is>
      </c>
      <c r="J9" s="3" t="inlineStr">
        <is>
          <t>按月固定发放</t>
        </is>
      </c>
      <c r="K9" s="3" t="inlineStr">
        <is>
          <t>月度</t>
        </is>
      </c>
      <c r="L9" s="3" t="inlineStr">
        <is>
          <t>运营岗位标配</t>
        </is>
      </c>
    </row>
    <row r="10">
      <c r="A10" s="4" t="n">
        <v>9</v>
      </c>
      <c r="B10" s="5" t="inlineStr">
        <is>
          <t>五险一金(个人)</t>
        </is>
      </c>
      <c r="C10" s="5" t="inlineStr">
        <is>
          <t>代扣项</t>
        </is>
      </c>
      <c r="D10" s="4">
        <f>'计算示例'!B20</f>
        <v/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  <c r="H10" s="5" t="inlineStr">
        <is>
          <t>-</t>
        </is>
      </c>
      <c r="I10" s="5" t="inlineStr">
        <is>
          <t>缴费基数*比例</t>
        </is>
      </c>
      <c r="J10" s="5" t="inlineStr">
        <is>
          <t>养老8%+医疗2%+失业0.5%+公积金</t>
        </is>
      </c>
      <c r="K10" s="5" t="inlineStr">
        <is>
          <t>月度</t>
        </is>
      </c>
      <c r="L10" s="5" t="inlineStr">
        <is>
          <t>单位另承担约30%</t>
        </is>
      </c>
    </row>
    <row r="11">
      <c r="A11" s="4" t="n">
        <v>10</v>
      </c>
      <c r="B11" s="5" t="inlineStr">
        <is>
          <t>个人所得税</t>
        </is>
      </c>
      <c r="C11" s="5" t="inlineStr">
        <is>
          <t>代扣项</t>
        </is>
      </c>
      <c r="D11" s="4">
        <f>'计算示例'!B23</f>
        <v/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  <c r="H11" s="5" t="inlineStr">
        <is>
          <t>-</t>
        </is>
      </c>
      <c r="I11" s="5" t="inlineStr">
        <is>
          <t>应纳税所得额</t>
        </is>
      </c>
      <c r="J11" s="5" t="inlineStr">
        <is>
          <t>累计预扣法</t>
        </is>
      </c>
      <c r="K11" s="5" t="inlineStr">
        <is>
          <t>月度</t>
        </is>
      </c>
      <c r="L11" s="5" t="inlineStr">
        <is>
          <t>按个税法计算</t>
        </is>
      </c>
    </row>
    <row r="12">
      <c r="A12" s="4" t="n">
        <v>11</v>
      </c>
      <c r="B12" s="5" t="inlineStr">
        <is>
          <t>应发工资</t>
        </is>
      </c>
      <c r="C12" s="5" t="inlineStr">
        <is>
          <t>汇总</t>
        </is>
      </c>
      <c r="D12" s="4">
        <f>'计算示例'!B19</f>
        <v/>
      </c>
      <c r="E12" s="5" t="inlineStr">
        <is>
          <t>-</t>
        </is>
      </c>
      <c r="F12" s="5" t="inlineStr">
        <is>
          <t>-</t>
        </is>
      </c>
      <c r="G12" s="5" t="inlineStr">
        <is>
          <t>-</t>
        </is>
      </c>
      <c r="H12" s="5" t="inlineStr">
        <is>
          <t>-</t>
        </is>
      </c>
      <c r="I12" s="5" t="inlineStr">
        <is>
          <t>固定+浮动+补贴</t>
        </is>
      </c>
      <c r="J12" s="5" t="inlineStr">
        <is>
          <t>SUM(固定+浮动+补贴)</t>
        </is>
      </c>
      <c r="K12" s="5" t="inlineStr">
        <is>
          <t>月度</t>
        </is>
      </c>
      <c r="L12" s="5" t="inlineStr">
        <is>
          <t>税前总薪资</t>
        </is>
      </c>
    </row>
    <row r="13">
      <c r="A13" s="4" t="n">
        <v>12</v>
      </c>
      <c r="B13" s="5" t="inlineStr">
        <is>
          <t>实发工资</t>
        </is>
      </c>
      <c r="C13" s="5" t="inlineStr">
        <is>
          <t>汇总</t>
        </is>
      </c>
      <c r="D13" s="4">
        <f>'计算示例'!B24</f>
        <v/>
      </c>
      <c r="E13" s="5" t="inlineStr">
        <is>
          <t>-</t>
        </is>
      </c>
      <c r="F13" s="5" t="inlineStr">
        <is>
          <t>-</t>
        </is>
      </c>
      <c r="G13" s="5" t="inlineStr">
        <is>
          <t>-</t>
        </is>
      </c>
      <c r="H13" s="5" t="inlineStr">
        <is>
          <t>-</t>
        </is>
      </c>
      <c r="I13" s="5" t="inlineStr">
        <is>
          <t>应发-代扣项</t>
        </is>
      </c>
      <c r="J13" s="5" t="inlineStr">
        <is>
          <t>应发-五险一金-个税</t>
        </is>
      </c>
      <c r="K13" s="5" t="inlineStr">
        <is>
          <t>月度</t>
        </is>
      </c>
      <c r="L13" s="5" t="inlineStr">
        <is>
          <t>到手金额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6" customWidth="1" min="4" max="4"/>
    <col width="16" customWidth="1" min="5" max="5"/>
    <col width="30" customWidth="1" min="6" max="6"/>
    <col width="16" customWidth="1" min="7" max="7"/>
    <col width="16" customWidth="1" min="8" max="8"/>
    <col width="20" customWidth="1" min="9" max="9"/>
  </cols>
  <sheetData>
    <row r="1">
      <c r="A1" s="1" t="inlineStr">
        <is>
          <t>序号</t>
        </is>
      </c>
      <c r="B1" s="1" t="inlineStr">
        <is>
          <t>考核维度</t>
        </is>
      </c>
      <c r="C1" s="1" t="inlineStr">
        <is>
          <t>权重</t>
        </is>
      </c>
      <c r="D1" s="1" t="inlineStr">
        <is>
          <t>指标定义</t>
        </is>
      </c>
      <c r="E1" s="1" t="inlineStr">
        <is>
          <t>目标值</t>
        </is>
      </c>
      <c r="F1" s="1" t="inlineStr">
        <is>
          <t>评分标准</t>
        </is>
      </c>
      <c r="G1" s="1" t="inlineStr">
        <is>
          <t>数据来源</t>
        </is>
      </c>
      <c r="H1" s="1" t="inlineStr">
        <is>
          <t>考核周期</t>
        </is>
      </c>
      <c r="I1" s="1" t="inlineStr">
        <is>
          <t>备注</t>
        </is>
      </c>
    </row>
    <row r="2">
      <c r="A2" s="2" t="n">
        <v>1</v>
      </c>
      <c r="B2" s="3" t="inlineStr">
        <is>
          <t>销售额达成率</t>
        </is>
      </c>
      <c r="C2" s="3" t="inlineStr">
        <is>
          <t>25%</t>
        </is>
      </c>
      <c r="D2" s="3" t="inlineStr">
        <is>
          <t>销售额达成实际/目标</t>
        </is>
      </c>
      <c r="E2" s="3" t="inlineStr">
        <is>
          <t>&gt;=90分</t>
        </is>
      </c>
      <c r="F2" s="3" t="inlineStr">
        <is>
          <t>达标100分；每低1分扣2-5分</t>
        </is>
      </c>
      <c r="G2" s="3" t="inlineStr">
        <is>
          <t>业务系统/主管评分</t>
        </is>
      </c>
      <c r="H2" s="3" t="inlineStr">
        <is>
          <t>月度</t>
        </is>
      </c>
      <c r="I2" s="3" t="inlineStr">
        <is>
          <t>核心指标</t>
        </is>
      </c>
    </row>
    <row r="3">
      <c r="A3" s="4" t="n">
        <v>2</v>
      </c>
      <c r="B3" s="5" t="inlineStr">
        <is>
          <t>订单处理效率</t>
        </is>
      </c>
      <c r="C3" s="5" t="inlineStr">
        <is>
          <t>15%</t>
        </is>
      </c>
      <c r="D3" s="5" t="inlineStr">
        <is>
          <t>订单处理效实际/目标</t>
        </is>
      </c>
      <c r="E3" s="5" t="inlineStr">
        <is>
          <t>&gt;=85分</t>
        </is>
      </c>
      <c r="F3" s="5" t="inlineStr">
        <is>
          <t>达标100分；每低1分扣2-5分</t>
        </is>
      </c>
      <c r="G3" s="5" t="inlineStr">
        <is>
          <t>业务系统/主管评分</t>
        </is>
      </c>
      <c r="H3" s="5" t="inlineStr">
        <is>
          <t>月度</t>
        </is>
      </c>
      <c r="I3" s="5" t="inlineStr">
        <is>
          <t>辅助指标</t>
        </is>
      </c>
    </row>
    <row r="4">
      <c r="A4" s="4" t="n">
        <v>3</v>
      </c>
      <c r="B4" s="5" t="inlineStr">
        <is>
          <t>客户满意度</t>
        </is>
      </c>
      <c r="C4" s="5" t="inlineStr">
        <is>
          <t>15%</t>
        </is>
      </c>
      <c r="D4" s="5" t="inlineStr">
        <is>
          <t>客户满意度</t>
        </is>
      </c>
      <c r="E4" s="5" t="inlineStr">
        <is>
          <t>&gt;=85分</t>
        </is>
      </c>
      <c r="F4" s="5" t="inlineStr">
        <is>
          <t>达标100分；每低1分扣2-5分</t>
        </is>
      </c>
      <c r="G4" s="5" t="inlineStr">
        <is>
          <t>业务系统/主管评分</t>
        </is>
      </c>
      <c r="H4" s="5" t="inlineStr">
        <is>
          <t>月度</t>
        </is>
      </c>
      <c r="I4" s="5" t="inlineStr">
        <is>
          <t>辅助指标</t>
        </is>
      </c>
    </row>
    <row r="5">
      <c r="A5" s="4" t="n">
        <v>4</v>
      </c>
      <c r="B5" s="5" t="inlineStr">
        <is>
          <t>库存准确率</t>
        </is>
      </c>
      <c r="C5" s="5" t="inlineStr">
        <is>
          <t>10%</t>
        </is>
      </c>
      <c r="D5" s="5" t="inlineStr">
        <is>
          <t>库存准确实际/目标</t>
        </is>
      </c>
      <c r="E5" s="5" t="inlineStr">
        <is>
          <t>&gt;=85分</t>
        </is>
      </c>
      <c r="F5" s="5" t="inlineStr">
        <is>
          <t>达标100分；每低1分扣2-5分</t>
        </is>
      </c>
      <c r="G5" s="5" t="inlineStr">
        <is>
          <t>业务系统/主管评分</t>
        </is>
      </c>
      <c r="H5" s="5" t="inlineStr">
        <is>
          <t>月度</t>
        </is>
      </c>
      <c r="I5" s="5" t="inlineStr">
        <is>
          <t>辅助指标</t>
        </is>
      </c>
    </row>
    <row r="6">
      <c r="A6" s="4" t="n">
        <v>5</v>
      </c>
      <c r="B6" s="5" t="inlineStr">
        <is>
          <t>活动执行完成率</t>
        </is>
      </c>
      <c r="C6" s="5" t="inlineStr">
        <is>
          <t>10%</t>
        </is>
      </c>
      <c r="D6" s="5" t="inlineStr">
        <is>
          <t>活动执行完成实际/目标</t>
        </is>
      </c>
      <c r="E6" s="5" t="inlineStr">
        <is>
          <t>&gt;=85分</t>
        </is>
      </c>
      <c r="F6" s="5" t="inlineStr">
        <is>
          <t>达标100分；每低1分扣2-5分</t>
        </is>
      </c>
      <c r="G6" s="5" t="inlineStr">
        <is>
          <t>业务系统/主管评分</t>
        </is>
      </c>
      <c r="H6" s="5" t="inlineStr">
        <is>
          <t>月度</t>
        </is>
      </c>
      <c r="I6" s="5" t="inlineStr">
        <is>
          <t>辅助指标</t>
        </is>
      </c>
    </row>
    <row r="7">
      <c r="A7" s="4" t="n">
        <v>6</v>
      </c>
      <c r="B7" s="5" t="inlineStr">
        <is>
          <t>数据报表准确率</t>
        </is>
      </c>
      <c r="C7" s="5" t="inlineStr">
        <is>
          <t>10%</t>
        </is>
      </c>
      <c r="D7" s="5" t="inlineStr">
        <is>
          <t>数据报表准确实际/目标</t>
        </is>
      </c>
      <c r="E7" s="5" t="inlineStr">
        <is>
          <t>&gt;=85分</t>
        </is>
      </c>
      <c r="F7" s="5" t="inlineStr">
        <is>
          <t>达标100分；每低1分扣2-5分</t>
        </is>
      </c>
      <c r="G7" s="5" t="inlineStr">
        <is>
          <t>业务系统/主管评分</t>
        </is>
      </c>
      <c r="H7" s="5" t="inlineStr">
        <is>
          <t>月度</t>
        </is>
      </c>
      <c r="I7" s="5" t="inlineStr">
        <is>
          <t>辅助指标</t>
        </is>
      </c>
    </row>
    <row r="8">
      <c r="A8" s="4" t="n">
        <v>7</v>
      </c>
      <c r="B8" s="5" t="inlineStr">
        <is>
          <t>工作态度与协作</t>
        </is>
      </c>
      <c r="C8" s="5" t="inlineStr">
        <is>
          <t>10%</t>
        </is>
      </c>
      <c r="D8" s="5" t="inlineStr">
        <is>
          <t>工作态度与协作</t>
        </is>
      </c>
      <c r="E8" s="5" t="inlineStr">
        <is>
          <t>&gt;=85分</t>
        </is>
      </c>
      <c r="F8" s="5" t="inlineStr">
        <is>
          <t>达标100分；每低1分扣2-5分</t>
        </is>
      </c>
      <c r="G8" s="5" t="inlineStr">
        <is>
          <t>业务系统/主管评分</t>
        </is>
      </c>
      <c r="H8" s="5" t="inlineStr">
        <is>
          <t>月度</t>
        </is>
      </c>
      <c r="I8" s="5" t="inlineStr">
        <is>
          <t>辅助指标</t>
        </is>
      </c>
    </row>
    <row r="9">
      <c r="A9" s="4" t="n">
        <v>8</v>
      </c>
      <c r="B9" s="5" t="inlineStr">
        <is>
          <t>学习成长</t>
        </is>
      </c>
      <c r="C9" s="5" t="inlineStr">
        <is>
          <t>5%</t>
        </is>
      </c>
      <c r="D9" s="5" t="inlineStr">
        <is>
          <t>学习成长</t>
        </is>
      </c>
      <c r="E9" s="5" t="inlineStr">
        <is>
          <t>&gt;=85分</t>
        </is>
      </c>
      <c r="F9" s="5" t="inlineStr">
        <is>
          <t>达标100分；每低1分扣2-5分</t>
        </is>
      </c>
      <c r="G9" s="5" t="inlineStr">
        <is>
          <t>业务系统/主管评分</t>
        </is>
      </c>
      <c r="H9" s="5" t="inlineStr">
        <is>
          <t>月度</t>
        </is>
      </c>
      <c r="I9" s="5" t="inlineStr">
        <is>
          <t>辅助指标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18" customWidth="1" min="4" max="4"/>
    <col width="18" customWidth="1" min="5" max="5"/>
    <col width="18" customWidth="1" min="6" max="6"/>
    <col width="26" customWidth="1" min="7" max="7"/>
  </cols>
  <sheetData>
    <row r="1">
      <c r="A1" s="1" t="inlineStr">
        <is>
          <t>序号</t>
        </is>
      </c>
      <c r="B1" s="1" t="inlineStr">
        <is>
          <t>调薪类型</t>
        </is>
      </c>
      <c r="C1" s="1" t="inlineStr">
        <is>
          <t>适用条件</t>
        </is>
      </c>
      <c r="D1" s="1" t="inlineStr">
        <is>
          <t>调薪幅度</t>
        </is>
      </c>
      <c r="E1" s="1" t="inlineStr">
        <is>
          <t>生效时间</t>
        </is>
      </c>
      <c r="F1" s="1" t="inlineStr">
        <is>
          <t>审批流程</t>
        </is>
      </c>
      <c r="G1" s="1" t="inlineStr">
        <is>
          <t>备注</t>
        </is>
      </c>
    </row>
    <row r="2">
      <c r="A2" s="4" t="n">
        <v>1</v>
      </c>
      <c r="B2" s="5" t="inlineStr">
        <is>
          <t>试用期转正调薪</t>
        </is>
      </c>
      <c r="C2" s="5" t="inlineStr">
        <is>
          <t>试用期考核通过</t>
        </is>
      </c>
      <c r="D2" s="5" t="inlineStr">
        <is>
          <t>0-10%</t>
        </is>
      </c>
      <c r="E2" s="5" t="inlineStr">
        <is>
          <t>转正次月</t>
        </is>
      </c>
      <c r="F2" s="5" t="inlineStr">
        <is>
          <t>部门主管→HR→总经理</t>
        </is>
      </c>
      <c r="G2" s="5" t="inlineStr">
        <is>
          <t>根据试用期表现定档</t>
        </is>
      </c>
    </row>
    <row r="3">
      <c r="A3" s="4" t="n">
        <v>2</v>
      </c>
      <c r="B3" s="5" t="inlineStr">
        <is>
          <t>年度普调</t>
        </is>
      </c>
      <c r="C3" s="5" t="inlineStr">
        <is>
          <t>入职满1年且年度绩效≥B</t>
        </is>
      </c>
      <c r="D3" s="5" t="inlineStr">
        <is>
          <t>3-8%</t>
        </is>
      </c>
      <c r="E3" s="5" t="inlineStr">
        <is>
          <t>次年1月</t>
        </is>
      </c>
      <c r="F3" s="5" t="inlineStr">
        <is>
          <t>HR提案→管理层审批</t>
        </is>
      </c>
      <c r="G3" s="5" t="inlineStr">
        <is>
          <t>参考市场薪酬涨幅</t>
        </is>
      </c>
    </row>
    <row r="4">
      <c r="A4" s="4" t="n">
        <v>3</v>
      </c>
      <c r="B4" s="5" t="inlineStr">
        <is>
          <t>晋升调薪</t>
        </is>
      </c>
      <c r="C4" s="5" t="inlineStr">
        <is>
          <t>职级晋升</t>
        </is>
      </c>
      <c r="D4" s="5" t="inlineStr">
        <is>
          <t>10-25%</t>
        </is>
      </c>
      <c r="E4" s="5" t="inlineStr">
        <is>
          <t>晋升次月</t>
        </is>
      </c>
      <c r="F4" s="5" t="inlineStr">
        <is>
          <t>部门提名→晋升评审→总经理</t>
        </is>
      </c>
      <c r="G4" s="5" t="inlineStr">
        <is>
          <t>每晋升1级至少10%</t>
        </is>
      </c>
    </row>
    <row r="5">
      <c r="A5" s="4" t="n">
        <v>4</v>
      </c>
      <c r="B5" s="5" t="inlineStr">
        <is>
          <t>绩效调薪</t>
        </is>
      </c>
      <c r="C5" s="5" t="inlineStr">
        <is>
          <t>连续2个季度绩效A或年度绩效A</t>
        </is>
      </c>
      <c r="D5" s="5" t="inlineStr">
        <is>
          <t>5-15%</t>
        </is>
      </c>
      <c r="E5" s="5" t="inlineStr">
        <is>
          <t>绩效评定次月</t>
        </is>
      </c>
      <c r="F5" s="5" t="inlineStr">
        <is>
          <t>主管申请→HR审核→总经理</t>
        </is>
      </c>
      <c r="G5" s="5" t="inlineStr">
        <is>
          <t>不与晋升调薪重复享受</t>
        </is>
      </c>
    </row>
    <row r="6">
      <c r="A6" s="4" t="n">
        <v>5</v>
      </c>
      <c r="B6" s="5" t="inlineStr">
        <is>
          <t>市场薪酬调整</t>
        </is>
      </c>
      <c r="C6" s="5" t="inlineStr">
        <is>
          <t>岗位市场薪酬显著变化</t>
        </is>
      </c>
      <c r="D6" s="5" t="inlineStr">
        <is>
          <t>5-10%</t>
        </is>
      </c>
      <c r="E6" s="5" t="inlineStr">
        <is>
          <t>调整方案确认次月</t>
        </is>
      </c>
      <c r="F6" s="5" t="inlineStr">
        <is>
          <t>HR调研→管理层审批</t>
        </is>
      </c>
      <c r="G6" s="5" t="inlineStr">
        <is>
          <t>需有薪酬调研数据支撑</t>
        </is>
      </c>
    </row>
    <row r="7">
      <c r="A7" s="4" t="n">
        <v>6</v>
      </c>
      <c r="B7" s="5" t="inlineStr">
        <is>
          <t>特殊贡献调薪</t>
        </is>
      </c>
      <c r="C7" s="5" t="inlineStr">
        <is>
          <t>重大项目突破/特殊贡献</t>
        </is>
      </c>
      <c r="D7" s="5" t="inlineStr">
        <is>
          <t>10-30%</t>
        </is>
      </c>
      <c r="E7" s="5" t="inlineStr">
        <is>
          <t>贡献确认次月</t>
        </is>
      </c>
      <c r="F7" s="5" t="inlineStr">
        <is>
          <t>部门申请→总经理特批</t>
        </is>
      </c>
      <c r="G7" s="5" t="inlineStr">
        <is>
          <t>一事一议</t>
        </is>
      </c>
    </row>
    <row r="8">
      <c r="A8" s="4" t="n">
        <v>7</v>
      </c>
      <c r="B8" s="5" t="inlineStr">
        <is>
          <t>留任调薪</t>
        </is>
      </c>
      <c r="C8" s="5" t="inlineStr">
        <is>
          <t>核心人才面临外部高薪挖角</t>
        </is>
      </c>
      <c r="D8" s="5" t="inlineStr">
        <is>
          <t>10-20%</t>
        </is>
      </c>
      <c r="E8" s="5" t="inlineStr">
        <is>
          <t>审批通过后次月</t>
        </is>
      </c>
      <c r="F8" s="5" t="inlineStr">
        <is>
          <t>HR评估→总经理审批</t>
        </is>
      </c>
      <c r="G8" s="5" t="inlineStr">
        <is>
          <t>需签订服务期协议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26" customWidth="1" min="8" max="8"/>
    <col width="22" customWidth="1" min="9" max="9"/>
  </cols>
  <sheetData>
    <row r="1">
      <c r="A1" s="1" t="inlineStr">
        <is>
          <t>序号</t>
        </is>
      </c>
      <c r="B1" s="1" t="inlineStr">
        <is>
          <t>奖金类型</t>
        </is>
      </c>
      <c r="C1" s="1" t="inlineStr">
        <is>
          <t>适用岗位</t>
        </is>
      </c>
      <c r="D1" s="1" t="inlineStr">
        <is>
          <t>计算基数</t>
        </is>
      </c>
      <c r="E1" s="1" t="inlineStr">
        <is>
          <t>计提比例/金额</t>
        </is>
      </c>
      <c r="F1" s="1" t="inlineStr">
        <is>
          <t>发放周期</t>
        </is>
      </c>
      <c r="G1" s="1" t="inlineStr">
        <is>
          <t>发放条件</t>
        </is>
      </c>
      <c r="H1" s="1" t="inlineStr">
        <is>
          <t>计算公式</t>
        </is>
      </c>
      <c r="I1" s="1" t="inlineStr">
        <is>
          <t>备注</t>
        </is>
      </c>
    </row>
    <row r="2">
      <c r="A2" s="4" t="n">
        <v>1</v>
      </c>
      <c r="B2" s="5" t="inlineStr">
        <is>
          <t>月度销售提成</t>
        </is>
      </c>
      <c r="C2" s="5" t="inlineStr">
        <is>
          <t>电商运营助理</t>
        </is>
      </c>
      <c r="D2" s="5" t="inlineStr">
        <is>
          <t>个人负责销售额</t>
        </is>
      </c>
      <c r="E2" s="5" t="inlineStr">
        <is>
          <t>0.3%-0.8%</t>
        </is>
      </c>
      <c r="F2" s="5" t="inlineStr">
        <is>
          <t>月度</t>
        </is>
      </c>
      <c r="G2" s="5" t="inlineStr">
        <is>
          <t>销售额达标且回款完成</t>
        </is>
      </c>
      <c r="H2" s="5" t="inlineStr">
        <is>
          <t>销售额*提成比例</t>
        </is>
      </c>
      <c r="I2" s="5" t="inlineStr">
        <is>
          <t>阶梯提成</t>
        </is>
      </c>
    </row>
    <row r="3">
      <c r="A3" s="4" t="n">
        <v>2</v>
      </c>
      <c r="B3" s="5" t="inlineStr">
        <is>
          <t>月度绩效奖金</t>
        </is>
      </c>
      <c r="C3" s="5" t="inlineStr">
        <is>
          <t>电商运营助理</t>
        </is>
      </c>
      <c r="D3" s="5" t="inlineStr">
        <is>
          <t>绩效标准金额</t>
        </is>
      </c>
      <c r="E3" s="5" t="inlineStr">
        <is>
          <t>0-120%</t>
        </is>
      </c>
      <c r="F3" s="5" t="inlineStr">
        <is>
          <t>月度</t>
        </is>
      </c>
      <c r="G3" s="5" t="inlineStr">
        <is>
          <t>月度绩效得分≥60</t>
        </is>
      </c>
      <c r="H3" s="5" t="inlineStr">
        <is>
          <t>绩效标准*绩效系数</t>
        </is>
      </c>
      <c r="I3" s="5" t="inlineStr">
        <is>
          <t>与绩效考核表挂钩</t>
        </is>
      </c>
    </row>
    <row r="4">
      <c r="A4" s="4" t="n">
        <v>3</v>
      </c>
      <c r="B4" s="5" t="inlineStr">
        <is>
          <t>季度奖金</t>
        </is>
      </c>
      <c r="C4" s="5" t="inlineStr">
        <is>
          <t>电商运营助理</t>
        </is>
      </c>
      <c r="D4" s="5" t="inlineStr">
        <is>
          <t>月基本工资</t>
        </is>
      </c>
      <c r="E4" s="5" t="inlineStr">
        <is>
          <t>0.5-1.0个月</t>
        </is>
      </c>
      <c r="F4" s="5" t="inlineStr">
        <is>
          <t>季度</t>
        </is>
      </c>
      <c r="G4" s="5" t="inlineStr">
        <is>
          <t>季度目标达成</t>
        </is>
      </c>
      <c r="H4" s="5" t="inlineStr">
        <is>
          <t>基本工资*0.8</t>
        </is>
      </c>
      <c r="I4" s="5" t="inlineStr">
        <is>
          <t>每季度评估</t>
        </is>
      </c>
    </row>
    <row r="5">
      <c r="A5" s="4" t="n">
        <v>4</v>
      </c>
      <c r="B5" s="5" t="inlineStr">
        <is>
          <t>年度奖金</t>
        </is>
      </c>
      <c r="C5" s="5" t="inlineStr">
        <is>
          <t>电商运营助理</t>
        </is>
      </c>
      <c r="D5" s="5" t="inlineStr">
        <is>
          <t>月基本工资</t>
        </is>
      </c>
      <c r="E5" s="5" t="inlineStr">
        <is>
          <t>1.0-2.0个月</t>
        </is>
      </c>
      <c r="F5" s="5" t="inlineStr">
        <is>
          <t>年度</t>
        </is>
      </c>
      <c r="G5" s="5" t="inlineStr">
        <is>
          <t>年度绩效≥B且在职</t>
        </is>
      </c>
      <c r="H5" s="5" t="inlineStr">
        <is>
          <t>基本工资*1.5</t>
        </is>
      </c>
      <c r="I5" s="5" t="inlineStr">
        <is>
          <t>春节前发放</t>
        </is>
      </c>
    </row>
    <row r="6">
      <c r="A6" s="4" t="n">
        <v>5</v>
      </c>
      <c r="B6" s="5" t="inlineStr">
        <is>
          <t>项目奖金</t>
        </is>
      </c>
      <c r="C6" s="5" t="inlineStr">
        <is>
          <t>电商运营助理</t>
        </is>
      </c>
      <c r="D6" s="5" t="inlineStr">
        <is>
          <t>项目利润</t>
        </is>
      </c>
      <c r="E6" s="5" t="inlineStr">
        <is>
          <t>5%-15%</t>
        </is>
      </c>
      <c r="F6" s="5" t="inlineStr">
        <is>
          <t>项目结束</t>
        </is>
      </c>
      <c r="G6" s="5" t="inlineStr">
        <is>
          <t>项目验收通过</t>
        </is>
      </c>
      <c r="H6" s="5" t="inlineStr">
        <is>
          <t>项目利润*分配比例</t>
        </is>
      </c>
      <c r="I6" s="5" t="inlineStr">
        <is>
          <t>专项激励</t>
        </is>
      </c>
    </row>
    <row r="7">
      <c r="A7" s="4" t="n">
        <v>6</v>
      </c>
      <c r="B7" s="5" t="inlineStr">
        <is>
          <t>全勤奖</t>
        </is>
      </c>
      <c r="C7" s="5" t="inlineStr">
        <is>
          <t>全员</t>
        </is>
      </c>
      <c r="D7" s="5" t="inlineStr">
        <is>
          <t>固定金额</t>
        </is>
      </c>
      <c r="E7" s="5" t="inlineStr">
        <is>
          <t>260元</t>
        </is>
      </c>
      <c r="F7" s="5" t="inlineStr">
        <is>
          <t>月度</t>
        </is>
      </c>
      <c r="G7" s="5" t="inlineStr">
        <is>
          <t>当月无缺勤迟到早退</t>
        </is>
      </c>
      <c r="H7" s="5" t="inlineStr">
        <is>
          <t>固定260元</t>
        </is>
      </c>
      <c r="I7" s="5" t="inlineStr">
        <is>
          <t>超3次取消</t>
        </is>
      </c>
    </row>
    <row r="8">
      <c r="A8" s="4" t="n">
        <v>7</v>
      </c>
      <c r="B8" s="5" t="inlineStr">
        <is>
          <t>伯乐奖</t>
        </is>
      </c>
      <c r="C8" s="5" t="inlineStr">
        <is>
          <t>全员</t>
        </is>
      </c>
      <c r="D8" s="5" t="inlineStr">
        <is>
          <t>固定金额</t>
        </is>
      </c>
      <c r="E8" s="5" t="inlineStr">
        <is>
          <t>500-2000元</t>
        </is>
      </c>
      <c r="F8" s="5" t="inlineStr">
        <is>
          <t>实时</t>
        </is>
      </c>
      <c r="G8" s="5" t="inlineStr">
        <is>
          <t>推荐人才成功转正</t>
        </is>
      </c>
      <c r="H8" s="5" t="inlineStr">
        <is>
          <t>按岗位级别定</t>
        </is>
      </c>
      <c r="I8" s="5" t="inlineStr">
        <is>
          <t>转正后发放</t>
        </is>
      </c>
    </row>
    <row r="9">
      <c r="A9" s="4" t="n">
        <v>8</v>
      </c>
      <c r="B9" s="5" t="inlineStr">
        <is>
          <t>年终分红</t>
        </is>
      </c>
      <c r="C9" s="5" t="inlineStr">
        <is>
          <t>核心员工</t>
        </is>
      </c>
      <c r="D9" s="5" t="inlineStr">
        <is>
          <t>公司年度利润</t>
        </is>
      </c>
      <c r="E9" s="5" t="inlineStr">
        <is>
          <t>0.5%-2%</t>
        </is>
      </c>
      <c r="F9" s="5" t="inlineStr">
        <is>
          <t>年度</t>
        </is>
      </c>
      <c r="G9" s="5" t="inlineStr">
        <is>
          <t>入职满1年且绩效≥B</t>
        </is>
      </c>
      <c r="H9" s="5" t="inlineStr">
        <is>
          <t>利润池*个人分配比例</t>
        </is>
      </c>
      <c r="I9" s="5" t="inlineStr">
        <is>
          <t>仅限资深员工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26" customWidth="1" min="4" max="4"/>
    <col width="18" customWidth="1" min="5" max="5"/>
    <col width="18" customWidth="1" min="6" max="6"/>
    <col width="22" customWidth="1" min="7" max="7"/>
  </cols>
  <sheetData>
    <row r="1">
      <c r="A1" s="1" t="inlineStr">
        <is>
          <t>序号</t>
        </is>
      </c>
      <c r="B1" s="1" t="inlineStr">
        <is>
          <t>福利项目</t>
        </is>
      </c>
      <c r="C1" s="1" t="inlineStr">
        <is>
          <t>福利类型</t>
        </is>
      </c>
      <c r="D1" s="1" t="inlineStr">
        <is>
          <t>标准/金额</t>
        </is>
      </c>
      <c r="E1" s="1" t="inlineStr">
        <is>
          <t>享受条件</t>
        </is>
      </c>
      <c r="F1" s="1" t="inlineStr">
        <is>
          <t>发放方式</t>
        </is>
      </c>
      <c r="G1" s="1" t="inlineStr">
        <is>
          <t>备注</t>
        </is>
      </c>
    </row>
    <row r="2">
      <c r="A2" s="4" t="n">
        <v>1</v>
      </c>
      <c r="B2" s="5" t="inlineStr">
        <is>
          <t>养老保险</t>
        </is>
      </c>
      <c r="C2" s="5" t="inlineStr">
        <is>
          <t>法定福利</t>
        </is>
      </c>
      <c r="D2" s="5" t="inlineStr">
        <is>
          <t>基数*16%(单位)+8%(个人)</t>
        </is>
      </c>
      <c r="E2" s="5" t="inlineStr">
        <is>
          <t>签订劳动合同</t>
        </is>
      </c>
      <c r="F2" s="5" t="inlineStr">
        <is>
          <t>社保代缴</t>
        </is>
      </c>
      <c r="G2" s="5" t="inlineStr">
        <is>
          <t>按当地社保政策</t>
        </is>
      </c>
    </row>
    <row r="3">
      <c r="A3" s="4" t="n">
        <v>2</v>
      </c>
      <c r="B3" s="5" t="inlineStr">
        <is>
          <t>医疗保险</t>
        </is>
      </c>
      <c r="C3" s="5" t="inlineStr">
        <is>
          <t>法定福利</t>
        </is>
      </c>
      <c r="D3" s="5" t="inlineStr">
        <is>
          <t>基数*8%(单位)+2%(个人)</t>
        </is>
      </c>
      <c r="E3" s="5" t="inlineStr">
        <is>
          <t>签订劳动合同</t>
        </is>
      </c>
      <c r="F3" s="5" t="inlineStr">
        <is>
          <t>社保代缴</t>
        </is>
      </c>
      <c r="G3" s="5" t="inlineStr">
        <is>
          <t>含生育保险</t>
        </is>
      </c>
    </row>
    <row r="4">
      <c r="A4" s="4" t="n">
        <v>3</v>
      </c>
      <c r="B4" s="5" t="inlineStr">
        <is>
          <t>失业保险</t>
        </is>
      </c>
      <c r="C4" s="5" t="inlineStr">
        <is>
          <t>法定福利</t>
        </is>
      </c>
      <c r="D4" s="5" t="inlineStr">
        <is>
          <t>基数*0.5%(单位)+0.5%(个人)</t>
        </is>
      </c>
      <c r="E4" s="5" t="inlineStr">
        <is>
          <t>签订劳动合同</t>
        </is>
      </c>
      <c r="F4" s="5" t="inlineStr">
        <is>
          <t>社保代缴</t>
        </is>
      </c>
      <c r="G4" s="5" t="inlineStr">
        <is>
          <t>按当地政策</t>
        </is>
      </c>
    </row>
    <row r="5">
      <c r="A5" s="4" t="n">
        <v>4</v>
      </c>
      <c r="B5" s="5" t="inlineStr">
        <is>
          <t>工伤保险</t>
        </is>
      </c>
      <c r="C5" s="5" t="inlineStr">
        <is>
          <t>法定福利</t>
        </is>
      </c>
      <c r="D5" s="5" t="inlineStr">
        <is>
          <t>基数*0.2%-1.4%(单位)</t>
        </is>
      </c>
      <c r="E5" s="5" t="inlineStr">
        <is>
          <t>签订劳动合同</t>
        </is>
      </c>
      <c r="F5" s="5" t="inlineStr">
        <is>
          <t>社保代缴</t>
        </is>
      </c>
      <c r="G5" s="5" t="inlineStr">
        <is>
          <t>按行业风险等级</t>
        </is>
      </c>
    </row>
    <row r="6">
      <c r="A6" s="4" t="n">
        <v>5</v>
      </c>
      <c r="B6" s="5" t="inlineStr">
        <is>
          <t>住房公积金</t>
        </is>
      </c>
      <c r="C6" s="5" t="inlineStr">
        <is>
          <t>法定福利</t>
        </is>
      </c>
      <c r="D6" s="5" t="inlineStr">
        <is>
          <t>基数*5%-12%(双边)</t>
        </is>
      </c>
      <c r="E6" s="5" t="inlineStr">
        <is>
          <t>签订劳动合同</t>
        </is>
      </c>
      <c r="F6" s="5" t="inlineStr">
        <is>
          <t>公积金代缴</t>
        </is>
      </c>
      <c r="G6" s="5" t="inlineStr">
        <is>
          <t>单位和个人同比例</t>
        </is>
      </c>
    </row>
    <row r="7">
      <c r="A7" s="4" t="n">
        <v>6</v>
      </c>
      <c r="B7" s="5" t="inlineStr">
        <is>
          <t>补充医疗保险</t>
        </is>
      </c>
      <c r="C7" s="5" t="inlineStr">
        <is>
          <t>补充福利</t>
        </is>
      </c>
      <c r="D7" s="5" t="inlineStr">
        <is>
          <t>约200元/人/年</t>
        </is>
      </c>
      <c r="E7" s="5" t="inlineStr">
        <is>
          <t>转正后</t>
        </is>
      </c>
      <c r="F7" s="5" t="inlineStr">
        <is>
          <t>商业保险</t>
        </is>
      </c>
      <c r="G7" s="5" t="inlineStr">
        <is>
          <t>覆盖门诊住院</t>
        </is>
      </c>
    </row>
    <row r="8">
      <c r="A8" s="4" t="n">
        <v>7</v>
      </c>
      <c r="B8" s="5" t="inlineStr">
        <is>
          <t>带薪年假</t>
        </is>
      </c>
      <c r="C8" s="5" t="inlineStr">
        <is>
          <t>法定福利</t>
        </is>
      </c>
      <c r="D8" s="5" t="inlineStr">
        <is>
          <t>5-15天/年</t>
        </is>
      </c>
      <c r="E8" s="5" t="inlineStr">
        <is>
          <t>入职满1年</t>
        </is>
      </c>
      <c r="F8" s="5" t="inlineStr">
        <is>
          <t>申请休假</t>
        </is>
      </c>
      <c r="G8" s="5" t="inlineStr">
        <is>
          <t>按工龄递增</t>
        </is>
      </c>
    </row>
    <row r="9">
      <c r="A9" s="4" t="n">
        <v>8</v>
      </c>
      <c r="B9" s="5" t="inlineStr">
        <is>
          <t>法定节假日</t>
        </is>
      </c>
      <c r="C9" s="5" t="inlineStr">
        <is>
          <t>法定福利</t>
        </is>
      </c>
      <c r="D9" s="5" t="inlineStr">
        <is>
          <t>11天/年</t>
        </is>
      </c>
      <c r="E9" s="5" t="inlineStr">
        <is>
          <t>全员</t>
        </is>
      </c>
      <c r="F9" s="5" t="inlineStr">
        <is>
          <t>带薪休假</t>
        </is>
      </c>
      <c r="G9" s="5" t="inlineStr">
        <is>
          <t>按国家规定</t>
        </is>
      </c>
    </row>
    <row r="10">
      <c r="A10" s="4" t="n">
        <v>9</v>
      </c>
      <c r="B10" s="5" t="inlineStr">
        <is>
          <t>节日福利</t>
        </is>
      </c>
      <c r="C10" s="5" t="inlineStr">
        <is>
          <t>补充福利</t>
        </is>
      </c>
      <c r="D10" s="5" t="inlineStr">
        <is>
          <t>300-500元/节</t>
        </is>
      </c>
      <c r="E10" s="5" t="inlineStr">
        <is>
          <t>全员</t>
        </is>
      </c>
      <c r="F10" s="5" t="inlineStr">
        <is>
          <t>实物/购物卡/现金</t>
        </is>
      </c>
      <c r="G10" s="5" t="inlineStr">
        <is>
          <t>春节/中秋/端午</t>
        </is>
      </c>
    </row>
    <row r="11">
      <c r="A11" s="4" t="n">
        <v>10</v>
      </c>
      <c r="B11" s="5" t="inlineStr">
        <is>
          <t>生日福利</t>
        </is>
      </c>
      <c r="C11" s="5" t="inlineStr">
        <is>
          <t>补充福利</t>
        </is>
      </c>
      <c r="D11" s="5" t="inlineStr">
        <is>
          <t>200元礼品/礼金</t>
        </is>
      </c>
      <c r="E11" s="5" t="inlineStr">
        <is>
          <t>全员</t>
        </is>
      </c>
      <c r="F11" s="5" t="inlineStr">
        <is>
          <t>生日当月发放</t>
        </is>
      </c>
      <c r="G11" s="5" t="inlineStr">
        <is>
          <t>或生日蛋糕券</t>
        </is>
      </c>
    </row>
    <row r="12">
      <c r="A12" s="4" t="n">
        <v>11</v>
      </c>
      <c r="B12" s="5" t="inlineStr">
        <is>
          <t>培训补贴</t>
        </is>
      </c>
      <c r="C12" s="5" t="inlineStr">
        <is>
          <t>补充福利</t>
        </is>
      </c>
      <c r="D12" s="5" t="inlineStr">
        <is>
          <t>1000-3000元/年</t>
        </is>
      </c>
      <c r="E12" s="5" t="inlineStr">
        <is>
          <t>年度培训计划内</t>
        </is>
      </c>
      <c r="F12" s="5" t="inlineStr">
        <is>
          <t>报销/直付</t>
        </is>
      </c>
      <c r="G12" s="5" t="inlineStr">
        <is>
          <t>外部课程/考证</t>
        </is>
      </c>
    </row>
    <row r="13">
      <c r="A13" s="4" t="n">
        <v>12</v>
      </c>
      <c r="B13" s="5" t="inlineStr">
        <is>
          <t>团建经费</t>
        </is>
      </c>
      <c r="C13" s="5" t="inlineStr">
        <is>
          <t>补充福利</t>
        </is>
      </c>
      <c r="D13" s="5" t="inlineStr">
        <is>
          <t>100-200元/人/月</t>
        </is>
      </c>
      <c r="E13" s="5" t="inlineStr">
        <is>
          <t>全员</t>
        </is>
      </c>
      <c r="F13" s="5" t="inlineStr">
        <is>
          <t>部门统筹</t>
        </is>
      </c>
      <c r="G13" s="5" t="inlineStr">
        <is>
          <t>季度或月度活动</t>
        </is>
      </c>
    </row>
    <row r="14">
      <c r="A14" s="4" t="n">
        <v>13</v>
      </c>
      <c r="B14" s="5" t="inlineStr">
        <is>
          <t>下午茶</t>
        </is>
      </c>
      <c r="C14" s="5" t="inlineStr">
        <is>
          <t>补充福利</t>
        </is>
      </c>
      <c r="D14" s="5" t="inlineStr">
        <is>
          <t>约20元/人/周</t>
        </is>
      </c>
      <c r="E14" s="5" t="inlineStr">
        <is>
          <t>全员</t>
        </is>
      </c>
      <c r="F14" s="5" t="inlineStr">
        <is>
          <t>行政采购</t>
        </is>
      </c>
      <c r="G14" s="5" t="inlineStr">
        <is>
          <t>每周固定</t>
        </is>
      </c>
    </row>
    <row r="15">
      <c r="A15" s="4" t="n">
        <v>14</v>
      </c>
      <c r="B15" s="5" t="inlineStr">
        <is>
          <t>年度体检</t>
        </is>
      </c>
      <c r="C15" s="5" t="inlineStr">
        <is>
          <t>补充福利</t>
        </is>
      </c>
      <c r="D15" s="5" t="inlineStr">
        <is>
          <t>500-1000元/人</t>
        </is>
      </c>
      <c r="E15" s="5" t="inlineStr">
        <is>
          <t>入职满1年</t>
        </is>
      </c>
      <c r="F15" s="5" t="inlineStr">
        <is>
          <t>合作医院</t>
        </is>
      </c>
      <c r="G15" s="5" t="inlineStr">
        <is>
          <t>每年1次</t>
        </is>
      </c>
    </row>
    <row r="16">
      <c r="A16" s="4" t="n">
        <v>15</v>
      </c>
      <c r="B16" s="5" t="inlineStr">
        <is>
          <t>交通补助</t>
        </is>
      </c>
      <c r="C16" s="5" t="inlineStr">
        <is>
          <t>津贴补贴</t>
        </is>
      </c>
      <c r="D16" s="5" t="inlineStr">
        <is>
          <t>260元/月</t>
        </is>
      </c>
      <c r="E16" s="5" t="inlineStr">
        <is>
          <t>外勤较多岗位</t>
        </is>
      </c>
      <c r="F16" s="5" t="inlineStr">
        <is>
          <t>随工资发放</t>
        </is>
      </c>
      <c r="G16" s="5" t="inlineStr">
        <is>
          <t>需提交外出记录</t>
        </is>
      </c>
    </row>
    <row r="17">
      <c r="A17" s="4" t="n">
        <v>16</v>
      </c>
      <c r="B17" s="5" t="inlineStr">
        <is>
          <t>餐补</t>
        </is>
      </c>
      <c r="C17" s="5" t="inlineStr">
        <is>
          <t>津贴补贴</t>
        </is>
      </c>
      <c r="D17" s="5" t="inlineStr">
        <is>
          <t>390元/月</t>
        </is>
      </c>
      <c r="E17" s="5" t="inlineStr">
        <is>
          <t>全员</t>
        </is>
      </c>
      <c r="F17" s="5" t="inlineStr">
        <is>
          <t>随工资发放</t>
        </is>
      </c>
      <c r="G17" s="5" t="inlineStr">
        <is>
          <t>按出勤折算</t>
        </is>
      </c>
    </row>
    <row r="18">
      <c r="A18" s="4" t="n">
        <v>17</v>
      </c>
      <c r="B18" s="5" t="inlineStr">
        <is>
          <t>通讯补贴</t>
        </is>
      </c>
      <c r="C18" s="5" t="inlineStr">
        <is>
          <t>津贴补贴</t>
        </is>
      </c>
      <c r="D18" s="5" t="inlineStr">
        <is>
          <t>130元/月</t>
        </is>
      </c>
      <c r="E18" s="5" t="inlineStr">
        <is>
          <t>运营/销售岗位</t>
        </is>
      </c>
      <c r="F18" s="5" t="inlineStr">
        <is>
          <t>随工资发放</t>
        </is>
      </c>
      <c r="G18" s="5" t="inlineStr">
        <is>
          <t>需报销话费发票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30" customWidth="1" min="3" max="3"/>
    <col width="18" customWidth="1" min="4" max="4"/>
    <col width="14" customWidth="1" min="5" max="5"/>
    <col width="18" customWidth="1" min="6" max="6"/>
  </cols>
  <sheetData>
    <row r="1">
      <c r="A1" s="6" t="inlineStr">
        <is>
          <t>互联网/电商 · 电商运营助理 · 薪资计算示例</t>
        </is>
      </c>
    </row>
    <row r="3">
      <c r="A3" s="4" t="inlineStr">
        <is>
          <t>员工姓名</t>
        </is>
      </c>
      <c r="B3" s="2" t="inlineStr">
        <is>
          <t>张三</t>
        </is>
      </c>
      <c r="C3" s="4" t="inlineStr">
        <is>
          <t>部门</t>
        </is>
      </c>
      <c r="D3" s="2" t="inlineStr">
        <is>
          <t>互联网/电商事业部</t>
        </is>
      </c>
      <c r="E3" s="4" t="inlineStr">
        <is>
          <t>岗位</t>
        </is>
      </c>
      <c r="F3" s="2" t="inlineStr">
        <is>
          <t>电商运营助理</t>
        </is>
      </c>
    </row>
    <row r="4">
      <c r="A4" s="4" t="inlineStr">
        <is>
          <t>入职日期</t>
        </is>
      </c>
      <c r="B4" s="2" t="inlineStr">
        <is>
          <t>2026-03-01</t>
        </is>
      </c>
      <c r="C4" s="4" t="inlineStr">
        <is>
          <t>工龄</t>
        </is>
      </c>
      <c r="D4" s="2" t="inlineStr">
        <is>
          <t>1年</t>
        </is>
      </c>
      <c r="E4" s="4" t="inlineStr">
        <is>
          <t>职级</t>
        </is>
      </c>
      <c r="F4" s="2" t="inlineStr">
        <is>
          <t>P2 专员</t>
        </is>
      </c>
    </row>
    <row r="5">
      <c r="A5" s="4" t="inlineStr">
        <is>
          <t>计薪月份</t>
        </is>
      </c>
      <c r="B5" s="2" t="inlineStr">
        <is>
          <t>2026-07</t>
        </is>
      </c>
      <c r="C5" s="4" t="inlineStr">
        <is>
          <t>应出勤天数</t>
        </is>
      </c>
      <c r="D5" s="2" t="n">
        <v>21.75</v>
      </c>
      <c r="E5" s="4" t="inlineStr">
        <is>
          <t>实际出勤天数</t>
        </is>
      </c>
      <c r="F5" s="2" t="n">
        <v>21</v>
      </c>
    </row>
    <row r="6">
      <c r="A6" s="4" t="inlineStr">
        <is>
          <t>基本工资</t>
        </is>
      </c>
      <c r="B6" s="2" t="n">
        <v>4500</v>
      </c>
      <c r="C6" s="4" t="inlineStr">
        <is>
          <t>岗位工资</t>
        </is>
      </c>
      <c r="D6" s="2" t="n">
        <v>1800</v>
      </c>
      <c r="E6" s="4" t="inlineStr">
        <is>
          <t>绩效工资标准</t>
        </is>
      </c>
      <c r="F6" s="2" t="n">
        <v>2000</v>
      </c>
    </row>
    <row r="7">
      <c r="A7" s="4" t="inlineStr">
        <is>
          <t>全勤奖标准</t>
        </is>
      </c>
      <c r="B7" s="2" t="n">
        <v>260</v>
      </c>
      <c r="C7" s="4" t="inlineStr">
        <is>
          <t>餐补标准</t>
        </is>
      </c>
      <c r="D7" s="2" t="n">
        <v>390</v>
      </c>
      <c r="E7" s="4" t="inlineStr">
        <is>
          <t>交通补贴标准</t>
        </is>
      </c>
      <c r="F7" s="2" t="n">
        <v>260</v>
      </c>
    </row>
    <row r="8">
      <c r="A8" s="4" t="inlineStr">
        <is>
          <t>通讯补贴标准</t>
        </is>
      </c>
      <c r="B8" s="2" t="n">
        <v>130</v>
      </c>
      <c r="C8" s="4" t="inlineStr">
        <is>
          <t>五险一金基数</t>
        </is>
      </c>
      <c r="D8" s="2" t="n">
        <v>6500</v>
      </c>
      <c r="E8" s="4" t="inlineStr">
        <is>
          <t>公积金比例</t>
        </is>
      </c>
      <c r="F8" s="7" t="n">
        <v>0.05</v>
      </c>
    </row>
    <row r="9">
      <c r="A9" s="4" t="inlineStr">
        <is>
          <t>城市</t>
        </is>
      </c>
      <c r="B9" s="2" t="inlineStr">
        <is>
          <t>广州</t>
        </is>
      </c>
      <c r="C9" s="4" t="inlineStr">
        <is>
          <t>城市系数</t>
        </is>
      </c>
      <c r="D9" s="2" t="n">
        <v>1.3</v>
      </c>
      <c r="E9" s="4" t="inlineStr"/>
      <c r="F9" s="2" t="inlineStr"/>
    </row>
    <row r="10">
      <c r="A10" s="1" t="inlineStr">
        <is>
          <t>薪资项目</t>
        </is>
      </c>
      <c r="B10" s="1" t="inlineStr">
        <is>
          <t>金额(元)</t>
        </is>
      </c>
      <c r="C10" s="1" t="inlineStr">
        <is>
          <t>计算说明</t>
        </is>
      </c>
      <c r="D10" s="8" t="inlineStr">
        <is>
          <t>绩效考核示例</t>
        </is>
      </c>
    </row>
    <row r="11">
      <c r="A11" s="4" t="inlineStr">
        <is>
          <t>基本工资</t>
        </is>
      </c>
      <c r="B11" s="2" t="n">
        <v>4500</v>
      </c>
      <c r="C11" s="5" t="inlineStr">
        <is>
          <t>固定</t>
        </is>
      </c>
      <c r="D11" s="1" t="inlineStr">
        <is>
          <t>考核维度</t>
        </is>
      </c>
      <c r="E11" s="1" t="inlineStr">
        <is>
          <t>权重</t>
        </is>
      </c>
      <c r="F11" s="1" t="inlineStr">
        <is>
          <t>得分</t>
        </is>
      </c>
    </row>
    <row r="12">
      <c r="A12" s="4" t="inlineStr">
        <is>
          <t>岗位工资</t>
        </is>
      </c>
      <c r="B12" s="2" t="n">
        <v>1800</v>
      </c>
      <c r="C12" s="5" t="inlineStr">
        <is>
          <t>固定</t>
        </is>
      </c>
      <c r="D12" s="4" t="inlineStr">
        <is>
          <t>销售额达成率</t>
        </is>
      </c>
      <c r="E12" s="9" t="n">
        <v>0.25</v>
      </c>
      <c r="F12" s="4" t="n">
        <v>85</v>
      </c>
    </row>
    <row r="13">
      <c r="A13" s="4" t="inlineStr">
        <is>
          <t>绩效工资</t>
        </is>
      </c>
      <c r="B13" s="10">
        <f>MAX(0.6,MIN(1.2,F20/100))*D8</f>
        <v/>
      </c>
      <c r="C13" s="5" t="inlineStr">
        <is>
          <t>由加权绩效得分驱动</t>
        </is>
      </c>
      <c r="D13" s="4" t="inlineStr">
        <is>
          <t>订单处理效率</t>
        </is>
      </c>
      <c r="E13" s="9" t="n">
        <v>0.15</v>
      </c>
      <c r="F13" s="4" t="n">
        <v>90</v>
      </c>
    </row>
    <row r="14">
      <c r="A14" s="4" t="inlineStr">
        <is>
          <t>加班工资</t>
        </is>
      </c>
      <c r="B14" s="2" t="n">
        <v>650</v>
      </c>
      <c r="C14" s="5" t="inlineStr">
        <is>
          <t>实际加班/值班</t>
        </is>
      </c>
      <c r="D14" s="4" t="inlineStr">
        <is>
          <t>客户满意度</t>
        </is>
      </c>
      <c r="E14" s="9" t="n">
        <v>0.15</v>
      </c>
      <c r="F14" s="4" t="n">
        <v>88</v>
      </c>
    </row>
    <row r="15">
      <c r="A15" s="4" t="inlineStr">
        <is>
          <t>全勤奖</t>
        </is>
      </c>
      <c r="B15" s="2" t="n">
        <v>260</v>
      </c>
      <c r="C15" s="5" t="inlineStr">
        <is>
          <t>当月无缺勤</t>
        </is>
      </c>
      <c r="D15" s="4" t="inlineStr">
        <is>
          <t>库存准确率</t>
        </is>
      </c>
      <c r="E15" s="9" t="n">
        <v>0.1</v>
      </c>
      <c r="F15" s="4" t="n">
        <v>95</v>
      </c>
    </row>
    <row r="16">
      <c r="A16" s="4" t="inlineStr">
        <is>
          <t>餐补</t>
        </is>
      </c>
      <c r="B16" s="2" t="n">
        <v>376.55</v>
      </c>
      <c r="C16" s="5" t="inlineStr">
        <is>
          <t>标准/应出勤*实际出勤</t>
        </is>
      </c>
      <c r="D16" s="4" t="inlineStr">
        <is>
          <t>活动执行完成率</t>
        </is>
      </c>
      <c r="E16" s="9" t="n">
        <v>0.1</v>
      </c>
      <c r="F16" s="4" t="n">
        <v>100</v>
      </c>
    </row>
    <row r="17">
      <c r="A17" s="4" t="inlineStr">
        <is>
          <t>交通补贴</t>
        </is>
      </c>
      <c r="B17" s="2" t="n">
        <v>260</v>
      </c>
      <c r="C17" s="5" t="inlineStr">
        <is>
          <t>固定</t>
        </is>
      </c>
      <c r="D17" s="4" t="inlineStr">
        <is>
          <t>数据报表准确率</t>
        </is>
      </c>
      <c r="E17" s="9" t="n">
        <v>0.1</v>
      </c>
      <c r="F17" s="4" t="n">
        <v>90</v>
      </c>
    </row>
    <row r="18">
      <c r="A18" s="4" t="inlineStr">
        <is>
          <t>通讯补贴</t>
        </is>
      </c>
      <c r="B18" s="2" t="n">
        <v>130</v>
      </c>
      <c r="C18" s="5" t="inlineStr">
        <is>
          <t>固定</t>
        </is>
      </c>
      <c r="D18" s="4" t="inlineStr">
        <is>
          <t>工作态度与协作</t>
        </is>
      </c>
      <c r="E18" s="9" t="n">
        <v>0.1</v>
      </c>
      <c r="F18" s="4" t="n">
        <v>92</v>
      </c>
    </row>
    <row r="19">
      <c r="A19" s="4" t="inlineStr">
        <is>
          <t>应发工资</t>
        </is>
      </c>
      <c r="B19" s="10">
        <f>SUM(B11:B18)</f>
        <v/>
      </c>
      <c r="C19" s="5" t="inlineStr"/>
      <c r="D19" s="4" t="inlineStr">
        <is>
          <t>学习成长</t>
        </is>
      </c>
      <c r="E19" s="9" t="n">
        <v>0.05</v>
      </c>
      <c r="F19" s="4" t="n">
        <v>85</v>
      </c>
    </row>
    <row r="20">
      <c r="A20" s="4" t="inlineStr">
        <is>
          <t>五险一金(个人)</t>
        </is>
      </c>
      <c r="B20" s="10">
        <f>D8*(8%+2%+0.5%)+D8*F8</f>
        <v/>
      </c>
      <c r="C20" s="5" t="inlineStr">
        <is>
          <t>养老+医疗+失业+公积金</t>
        </is>
      </c>
      <c r="D20" s="4" t="inlineStr">
        <is>
          <t>加权绩效得分</t>
        </is>
      </c>
      <c r="E20" s="11">
        <f>SUMPRODUCT(E12:E19,F12:F19)</f>
        <v/>
      </c>
      <c r="F20" s="4" t="inlineStr"/>
    </row>
    <row r="21">
      <c r="A21" s="4" t="inlineStr">
        <is>
          <t>个税起征点</t>
        </is>
      </c>
      <c r="B21" s="4" t="n">
        <v>5000</v>
      </c>
      <c r="C21" s="5" t="inlineStr"/>
    </row>
    <row r="22">
      <c r="A22" s="4" t="inlineStr">
        <is>
          <t>应纳税所得额</t>
        </is>
      </c>
      <c r="B22" s="10">
        <f>MAX(B19-B20-B21,0)</f>
        <v/>
      </c>
      <c r="C22" s="5" t="inlineStr"/>
    </row>
    <row r="23">
      <c r="A23" s="4" t="inlineStr">
        <is>
          <t>个人所得税</t>
        </is>
      </c>
      <c r="B23" s="10">
        <f>IF(B22&lt;=0,0,IF(B22&lt;=3000,B22*3%,IF(B22&lt;=12000,B22*10%-210,IF(B22&lt;=25000,B22*20%-1410,B22*25%-2660))))</f>
        <v/>
      </c>
      <c r="C23" s="5" t="inlineStr">
        <is>
          <t>累计预扣法（简化）</t>
        </is>
      </c>
    </row>
    <row r="24">
      <c r="A24" s="4" t="inlineStr">
        <is>
          <t>实发工资</t>
        </is>
      </c>
      <c r="B24" s="10">
        <f>B19-B20-B23</f>
        <v/>
      </c>
      <c r="C24" s="5" t="inlineStr"/>
    </row>
    <row r="26">
      <c r="A26" s="8" t="inlineStr">
        <is>
          <t>奖金计算示例</t>
        </is>
      </c>
    </row>
    <row r="27">
      <c r="A27" s="1" t="inlineStr">
        <is>
          <t>奖金项目</t>
        </is>
      </c>
      <c r="B27" s="1" t="inlineStr">
        <is>
          <t>金额(元)</t>
        </is>
      </c>
      <c r="C27" s="1" t="inlineStr">
        <is>
          <t>计算说明</t>
        </is>
      </c>
    </row>
    <row r="28">
      <c r="A28" s="4" t="inlineStr">
        <is>
          <t>月度销售提成</t>
        </is>
      </c>
      <c r="B28" s="4" t="n">
        <v>800</v>
      </c>
      <c r="C28" s="4" t="inlineStr">
        <is>
          <t>按实际业绩计提</t>
        </is>
      </c>
    </row>
    <row r="29">
      <c r="A29" s="4" t="inlineStr">
        <is>
          <t>月度绩效奖金</t>
        </is>
      </c>
      <c r="B29" s="10">
        <f>B13</f>
        <v/>
      </c>
      <c r="C29" s="4" t="inlineStr">
        <is>
          <t>绩效工资联动</t>
        </is>
      </c>
    </row>
    <row r="30">
      <c r="A30" s="4" t="inlineStr">
        <is>
          <t>全勤奖</t>
        </is>
      </c>
      <c r="B30" s="4" t="n">
        <v>260</v>
      </c>
      <c r="C30" s="4" t="inlineStr">
        <is>
          <t>当月无缺勤</t>
        </is>
      </c>
    </row>
    <row r="31">
      <c r="A31" s="4" t="inlineStr">
        <is>
          <t>季度奖金(预估)</t>
        </is>
      </c>
      <c r="B31" s="4" t="n">
        <v>2250</v>
      </c>
      <c r="C31" s="4" t="inlineStr">
        <is>
          <t>基本工资*系数</t>
        </is>
      </c>
    </row>
    <row r="32">
      <c r="A32" s="4" t="inlineStr">
        <is>
          <t>奖金合计</t>
        </is>
      </c>
      <c r="B32" s="10">
        <f>SUM(B28:B31)</f>
        <v/>
      </c>
      <c r="C32" s="4" t="inlineStr"/>
    </row>
    <row r="33">
      <c r="E33" s="8" t="inlineStr">
        <is>
          <t>全年薪酬总包预估</t>
        </is>
      </c>
    </row>
    <row r="34">
      <c r="E34" s="1" t="inlineStr">
        <is>
          <t>项目</t>
        </is>
      </c>
      <c r="F34" s="1" t="inlineStr">
        <is>
          <t>金额(元/年)</t>
        </is>
      </c>
    </row>
    <row r="35">
      <c r="E35" s="4" t="inlineStr">
        <is>
          <t>年固定薪资</t>
        </is>
      </c>
      <c r="F35" s="10">
        <f>B19*12</f>
        <v/>
      </c>
      <c r="G35" s="4" t="inlineStr"/>
    </row>
    <row r="36">
      <c r="E36" s="4" t="inlineStr">
        <is>
          <t>年浮动奖金(提成+绩效)</t>
        </is>
      </c>
      <c r="F36" s="10">
        <f>(B28+B29)*12</f>
        <v/>
      </c>
      <c r="G36" s="4" t="inlineStr"/>
    </row>
    <row r="37">
      <c r="E37" s="4" t="inlineStr">
        <is>
          <t>年终奖(1个月)</t>
        </is>
      </c>
      <c r="F37" s="10">
        <f>B11+B12</f>
        <v/>
      </c>
      <c r="G37" s="4" t="inlineStr"/>
    </row>
    <row r="38">
      <c r="E38" s="4" t="inlineStr">
        <is>
          <t>年福利(餐补+交通+通讯+节日)</t>
        </is>
      </c>
      <c r="F38" s="10">
        <f>(B16+B17+B18+B30)*12+1200</f>
        <v/>
      </c>
      <c r="G38" s="4" t="inlineStr"/>
    </row>
    <row r="39">
      <c r="E39" s="4" t="inlineStr">
        <is>
          <t>全年总现金收入</t>
        </is>
      </c>
      <c r="F39" s="10">
        <f>F35+F36+F37+F38</f>
        <v/>
      </c>
      <c r="G39" s="4" t="inlineStr"/>
    </row>
    <row r="40">
      <c r="A40" t="inlineStr">
        <is>
          <t>合规状态</t>
        </is>
      </c>
      <c r="B40" s="12">
        <f>COUNTIF(合规校验!F:F,"PASS")&amp;"项通过/"&amp;COUNTA(合规校验!F:F)-1&amp;"项校验"</f>
        <v/>
      </c>
    </row>
  </sheetData>
  <mergeCells count="4">
    <mergeCell ref="A26:C26"/>
    <mergeCell ref="A1:F1"/>
    <mergeCell ref="E33:F33"/>
    <mergeCell ref="D10:F10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16" customWidth="1" min="4" max="4"/>
    <col width="16" customWidth="1" min="5" max="5"/>
    <col width="16" customWidth="1" min="6" max="6"/>
    <col width="26" customWidth="1" min="7" max="7"/>
  </cols>
  <sheetData>
    <row r="1">
      <c r="A1" s="1" t="inlineStr">
        <is>
          <t>序号</t>
        </is>
      </c>
      <c r="B1" s="1" t="inlineStr">
        <is>
          <t>校验项</t>
        </is>
      </c>
      <c r="C1" s="1" t="inlineStr">
        <is>
          <t>规则</t>
        </is>
      </c>
      <c r="D1" s="1" t="inlineStr">
        <is>
          <t>当前值</t>
        </is>
      </c>
      <c r="E1" s="1" t="inlineStr">
        <is>
          <t>阈值</t>
        </is>
      </c>
      <c r="F1" s="1" t="inlineStr">
        <is>
          <t>结果</t>
        </is>
      </c>
      <c r="G1" s="1" t="inlineStr">
        <is>
          <t>说明</t>
        </is>
      </c>
    </row>
    <row r="2">
      <c r="A2" s="4" t="n">
        <v>1</v>
      </c>
      <c r="B2" s="4" t="inlineStr">
        <is>
          <t>最低工资合规</t>
        </is>
      </c>
      <c r="C2" s="4" t="inlineStr">
        <is>
          <t>基本工资 ≥ 2300元</t>
        </is>
      </c>
      <c r="D2" s="4" t="n">
        <v>4500</v>
      </c>
      <c r="E2" s="4" t="n">
        <v>2300</v>
      </c>
      <c r="F2" s="10">
        <f>IF(D2&gt;=E2,"PASS","BLOCK")</f>
        <v/>
      </c>
      <c r="G2" s="4" t="inlineStr">
        <is>
          <t>低于最低工资为严重违规</t>
        </is>
      </c>
    </row>
    <row r="3">
      <c r="A3" s="4" t="n">
        <v>2</v>
      </c>
      <c r="B3" s="4" t="inlineStr">
        <is>
          <t>社保基数下限</t>
        </is>
      </c>
      <c r="C3" s="4" t="inlineStr">
        <is>
          <t>社保基数 ≥ 5284元</t>
        </is>
      </c>
      <c r="D3" s="4" t="n">
        <v>6500</v>
      </c>
      <c r="E3" s="4" t="n">
        <v>5284</v>
      </c>
      <c r="F3" s="10">
        <f>IF(D3&gt;=E3,"PASS","WARN")</f>
        <v/>
      </c>
      <c r="G3" s="4" t="inlineStr">
        <is>
          <t>低于下限需按最低基数缴纳</t>
        </is>
      </c>
    </row>
    <row r="4">
      <c r="A4" s="4" t="n">
        <v>3</v>
      </c>
      <c r="B4" s="4" t="inlineStr">
        <is>
          <t>社保基数上限</t>
        </is>
      </c>
      <c r="C4" s="4" t="inlineStr">
        <is>
          <t>社保基数 ≤ 26421元</t>
        </is>
      </c>
      <c r="D4" s="4" t="n">
        <v>6500</v>
      </c>
      <c r="E4" s="4" t="n">
        <v>26421</v>
      </c>
      <c r="F4" s="10">
        <f>IF(D4&lt;=E4,"PASS","WARN")</f>
        <v/>
      </c>
      <c r="G4" s="4" t="inlineStr">
        <is>
          <t>超过上限按上限缴纳</t>
        </is>
      </c>
    </row>
    <row r="5">
      <c r="A5" s="4" t="n">
        <v>4</v>
      </c>
      <c r="B5" s="4" t="inlineStr">
        <is>
          <t>公积金比例合规</t>
        </is>
      </c>
      <c r="C5" s="4" t="inlineStr">
        <is>
          <t>比例在 5%-12% 之间</t>
        </is>
      </c>
      <c r="D5" s="4" t="n">
        <v>0.05</v>
      </c>
      <c r="E5" s="9" t="n">
        <v>0.05</v>
      </c>
      <c r="F5" s="10">
        <f>IF(AND(D5&gt;=E5,D5&lt;=0.12),"PASS","WARN")</f>
        <v/>
      </c>
      <c r="G5" s="4" t="inlineStr">
        <is>
          <t>比例需符合当地政策</t>
        </is>
      </c>
    </row>
    <row r="6">
      <c r="A6" s="4" t="n">
        <v>5</v>
      </c>
      <c r="B6" s="4" t="inlineStr">
        <is>
          <t>绩效工资占比</t>
        </is>
      </c>
      <c r="C6" s="4" t="inlineStr">
        <is>
          <t>绩效工资 ≤ 固定薪酬*50%</t>
        </is>
      </c>
      <c r="D6" s="4" t="n">
        <v>2000</v>
      </c>
      <c r="E6" s="4" t="n">
        <v>3150</v>
      </c>
      <c r="F6" s="10">
        <f>IF(D6&lt;=E6,"PASS","WARN")</f>
        <v/>
      </c>
      <c r="G6" s="4" t="inlineStr">
        <is>
          <t>占比过高影响收入稳定性</t>
        </is>
      </c>
    </row>
    <row r="7">
      <c r="A7" s="4" t="n">
        <v>6</v>
      </c>
      <c r="B7" s="4" t="inlineStr">
        <is>
          <t>个税合规</t>
        </is>
      </c>
      <c r="C7" s="4" t="inlineStr">
        <is>
          <t>应纳税所得额 ≥ 0</t>
        </is>
      </c>
      <c r="D7" s="10">
        <f>'计算示例'!B22</f>
        <v/>
      </c>
      <c r="E7" s="4" t="n">
        <v>0</v>
      </c>
      <c r="F7" s="10">
        <f>IF(D7&gt;=E7,"PASS","WARN")</f>
        <v/>
      </c>
      <c r="G7" s="4" t="inlineStr">
        <is>
          <t>应纳税所得额为负需检查</t>
        </is>
      </c>
    </row>
    <row r="8">
      <c r="A8" s="4" t="n">
        <v>7</v>
      </c>
      <c r="B8" s="4" t="inlineStr">
        <is>
          <t>实发工资为正</t>
        </is>
      </c>
      <c r="C8" s="4" t="inlineStr">
        <is>
          <t>实发工资 &gt; 0</t>
        </is>
      </c>
      <c r="D8" s="10">
        <f>'计算示例'!B24</f>
        <v/>
      </c>
      <c r="E8" s="4" t="n">
        <v>0</v>
      </c>
      <c r="F8" s="10">
        <f>IF(D8&gt;0,"PASS","BLOCK")</f>
        <v/>
      </c>
      <c r="G8" s="4" t="inlineStr">
        <is>
          <t>实发工资必须为正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</cols>
  <sheetData>
    <row r="1">
      <c r="A1" s="1" t="inlineStr">
        <is>
          <t>绩效得分区间</t>
        </is>
      </c>
      <c r="B1" s="1" t="inlineStr">
        <is>
          <t>绩效系数</t>
        </is>
      </c>
      <c r="C1" s="1" t="inlineStr">
        <is>
          <t>说明</t>
        </is>
      </c>
    </row>
    <row r="2">
      <c r="A2" s="5" t="inlineStr">
        <is>
          <t>&lt; 60</t>
        </is>
      </c>
      <c r="B2" s="5" t="inlineStr">
        <is>
          <t>0.6</t>
        </is>
      </c>
      <c r="C2" s="5" t="inlineStr">
        <is>
          <t>不合格，绩效奖金打折</t>
        </is>
      </c>
    </row>
    <row r="3">
      <c r="A3" s="5" t="inlineStr">
        <is>
          <t>60 - 70</t>
        </is>
      </c>
      <c r="B3" s="5" t="inlineStr">
        <is>
          <t>0.7</t>
        </is>
      </c>
      <c r="C3" s="5" t="inlineStr">
        <is>
          <t>待改进</t>
        </is>
      </c>
    </row>
    <row r="4">
      <c r="A4" s="5" t="inlineStr">
        <is>
          <t>70 - 80</t>
        </is>
      </c>
      <c r="B4" s="5" t="inlineStr">
        <is>
          <t>0.8</t>
        </is>
      </c>
      <c r="C4" s="5" t="inlineStr">
        <is>
          <t>合格</t>
        </is>
      </c>
    </row>
    <row r="5">
      <c r="A5" s="5" t="inlineStr">
        <is>
          <t>80 - 90</t>
        </is>
      </c>
      <c r="B5" s="5" t="inlineStr">
        <is>
          <t>0.9</t>
        </is>
      </c>
      <c r="C5" s="5" t="inlineStr">
        <is>
          <t>良好</t>
        </is>
      </c>
    </row>
    <row r="6">
      <c r="A6" s="5" t="inlineStr">
        <is>
          <t>90 - 100</t>
        </is>
      </c>
      <c r="B6" s="5" t="inlineStr">
        <is>
          <t>1.0</t>
        </is>
      </c>
      <c r="C6" s="5" t="inlineStr">
        <is>
          <t>达标</t>
        </is>
      </c>
    </row>
    <row r="7">
      <c r="A7" s="5" t="inlineStr">
        <is>
          <t>100 - 110</t>
        </is>
      </c>
      <c r="B7" s="5" t="inlineStr">
        <is>
          <t>1.1</t>
        </is>
      </c>
      <c r="C7" s="5" t="inlineStr">
        <is>
          <t>优秀</t>
        </is>
      </c>
    </row>
    <row r="8">
      <c r="A8" s="5" t="inlineStr">
        <is>
          <t>&gt;= 110</t>
        </is>
      </c>
      <c r="B8" s="5" t="inlineStr">
        <is>
          <t>1.2</t>
        </is>
      </c>
      <c r="C8" s="5" t="inlineStr">
        <is>
          <t>卓越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2026-07-20T07:12:18Z</dcterms:created>
  <dcterms:modified xmlns:dcterms="http://purl.org/dc/terms/" xmlns:xsi="http://www.w3.org/2001/XMLSchema-instance" xsi:type="dcterms:W3CDTF">2026-07-20T07:12:18Z</dcterms:modified>
</cp:coreProperties>
</file>