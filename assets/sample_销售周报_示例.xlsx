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汇总" sheetId="1" state="visible" r:id="rId1"/>
    <sheet xmlns:r="http://schemas.openxmlformats.org/officeDocument/2006/relationships" name="核心业绩数据" sheetId="2" state="visible" r:id="rId2"/>
    <sheet xmlns:r="http://schemas.openxmlformats.org/officeDocument/2006/relationships" name="重点商机进展" sheetId="3" state="visible" r:id="rId3"/>
    <sheet xmlns:r="http://schemas.openxmlformats.org/officeDocument/2006/relationships" name="问题分析" sheetId="4" state="visible" r:id="rId4"/>
    <sheet xmlns:r="http://schemas.openxmlformats.org/officeDocument/2006/relationships" name="下周工作计划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1F4E78"/>
      <sz val="12"/>
    </font>
    <font>
      <name val="Arial"/>
      <color rgb="001F4E78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2" fontId="5" fillId="0" borderId="1" pivotButton="0" quotePrefix="0" xfId="0"/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销售团队标准周报</t>
        </is>
      </c>
    </row>
    <row r="4">
      <c r="B4" s="2" t="inlineStr">
        <is>
          <t>团队名称</t>
        </is>
      </c>
      <c r="C4" s="3" t="inlineStr">
        <is>
          <t>示例团队</t>
        </is>
      </c>
    </row>
    <row r="5">
      <c r="B5" s="2" t="inlineStr">
        <is>
          <t>报表周期</t>
        </is>
      </c>
      <c r="C5" s="3" t="inlineStr">
        <is>
          <t>2026年第30周</t>
        </is>
      </c>
    </row>
    <row r="6">
      <c r="B6" s="2" t="inlineStr">
        <is>
          <t>填写人</t>
        </is>
      </c>
      <c r="C6" s="3" t="inlineStr">
        <is>
          <t>销售主管</t>
        </is>
      </c>
    </row>
    <row r="7">
      <c r="B7" s="2" t="inlineStr">
        <is>
          <t>填写日期</t>
        </is>
      </c>
      <c r="C7" s="3" t="inlineStr">
        <is>
          <t>2026-07-20</t>
        </is>
      </c>
    </row>
    <row r="9">
      <c r="B9" s="4" t="inlineStr">
        <is>
          <t>本周关键结论</t>
        </is>
      </c>
    </row>
    <row r="10">
      <c r="B10" s="3" t="inlineStr">
        <is>
          <t>1. 本周业绩达成情况：</t>
        </is>
      </c>
    </row>
    <row r="11">
      <c r="B11" s="3" t="inlineStr">
        <is>
          <t>2. 重点商机推进亮点：</t>
        </is>
      </c>
    </row>
    <row r="12">
      <c r="B12" s="3" t="inlineStr">
        <is>
          <t>3. 主要风险与问题：</t>
        </is>
      </c>
    </row>
    <row r="13">
      <c r="B13" s="3" t="inlineStr">
        <is>
          <t>4. 下周重点关注：</t>
        </is>
      </c>
    </row>
    <row r="16">
      <c r="B16" s="4" t="inlineStr">
        <is>
          <t>说明</t>
        </is>
      </c>
    </row>
    <row r="17">
      <c r="B17" s="3" t="inlineStr">
        <is>
          <t>• 本模板由 Prajna 企智 prajna-sales-weekly-report 技能自动生成。</t>
        </is>
      </c>
    </row>
    <row r="18">
      <c r="B18" s="3" t="inlineStr">
        <is>
          <t>• 蓝色字体单元格为建议填写项，黑色为说明或计算结果。</t>
        </is>
      </c>
    </row>
    <row r="19">
      <c r="B19" s="3" t="inlineStr">
        <is>
          <t>• 核心业绩表已内置公式，请直接录入目标值与实际值。</t>
        </is>
      </c>
    </row>
  </sheetData>
  <mergeCells count="9">
    <mergeCell ref="B12:F12"/>
    <mergeCell ref="B2:F2"/>
    <mergeCell ref="B10:F10"/>
    <mergeCell ref="B11:F11"/>
    <mergeCell ref="B18:F18"/>
    <mergeCell ref="B19:F19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10" customWidth="1" min="4" max="4"/>
    <col width="10" customWidth="1" min="5" max="5"/>
    <col width="13" customWidth="1" min="6" max="6"/>
    <col width="11" customWidth="1" min="7" max="7"/>
    <col width="15" customWidth="1" min="8" max="8"/>
    <col width="10" customWidth="1" min="9" max="9"/>
  </cols>
  <sheetData>
    <row r="1">
      <c r="A1" s="4" t="inlineStr">
        <is>
          <t>一、本周业绩总览</t>
        </is>
      </c>
    </row>
    <row r="2">
      <c r="A2" s="5" t="inlineStr">
        <is>
          <t>指标</t>
        </is>
      </c>
      <c r="B2" s="5" t="inlineStr">
        <is>
          <t>本周目标</t>
        </is>
      </c>
      <c r="C2" s="5" t="inlineStr">
        <is>
          <t>本周实际</t>
        </is>
      </c>
      <c r="D2" s="5" t="inlineStr">
        <is>
          <t>完成率</t>
        </is>
      </c>
      <c r="E2" s="5" t="inlineStr">
        <is>
          <t>上周同期</t>
        </is>
      </c>
      <c r="F2" s="5" t="inlineStr">
        <is>
          <t>环比</t>
        </is>
      </c>
      <c r="G2" s="5" t="inlineStr">
        <is>
          <t>上月同期</t>
        </is>
      </c>
      <c r="H2" s="5" t="inlineStr">
        <is>
          <t>同比</t>
        </is>
      </c>
    </row>
    <row r="3">
      <c r="A3" s="6" t="inlineStr">
        <is>
          <t>销售额</t>
        </is>
      </c>
      <c r="B3" s="7" t="n">
        <v>1200000</v>
      </c>
      <c r="C3" s="7" t="n">
        <v>1056000</v>
      </c>
      <c r="D3" s="8">
        <f>C3/B3</f>
        <v/>
      </c>
      <c r="E3" s="7" t="n">
        <v>984000</v>
      </c>
      <c r="F3" s="8">
        <f>(C3-D3)/D3</f>
        <v/>
      </c>
      <c r="G3" s="7" t="n">
        <v>1020000</v>
      </c>
      <c r="H3" s="8">
        <f>(C3-H3)/H3</f>
        <v/>
      </c>
    </row>
    <row r="4">
      <c r="A4" s="6" t="inlineStr">
        <is>
          <t>回款额</t>
        </is>
      </c>
      <c r="B4" s="7" t="n">
        <v>900000</v>
      </c>
      <c r="C4" s="7" t="n">
        <v>816000</v>
      </c>
      <c r="D4" s="8">
        <f>C4/B4</f>
        <v/>
      </c>
      <c r="E4" s="7" t="n">
        <v>840000</v>
      </c>
      <c r="F4" s="8">
        <f>(C4-D4)/D4</f>
        <v/>
      </c>
      <c r="G4" s="7" t="n">
        <v>864000</v>
      </c>
      <c r="H4" s="8">
        <f>(C4-H4)/H4</f>
        <v/>
      </c>
    </row>
    <row r="5">
      <c r="A5" s="6" t="inlineStr">
        <is>
          <t>签约客户数</t>
        </is>
      </c>
      <c r="B5" s="7" t="n">
        <v>34</v>
      </c>
      <c r="C5" s="7" t="n">
        <v>30</v>
      </c>
      <c r="D5" s="8">
        <f>C5/B5</f>
        <v/>
      </c>
      <c r="E5" s="6" t="inlineStr">
        <is>
          <t>-</t>
        </is>
      </c>
      <c r="F5" s="8" t="inlineStr">
        <is>
          <t>-</t>
        </is>
      </c>
      <c r="G5" s="6" t="inlineStr">
        <is>
          <t>-</t>
        </is>
      </c>
      <c r="H5" s="8" t="inlineStr">
        <is>
          <t>-</t>
        </is>
      </c>
    </row>
    <row r="6"/>
    <row r="7"/>
    <row r="8">
      <c r="A8" s="4" t="inlineStr">
        <is>
          <t>二、业绩排名（Top 5）</t>
        </is>
      </c>
    </row>
    <row r="9">
      <c r="A9" s="5" t="inlineStr">
        <is>
          <t>排名</t>
        </is>
      </c>
      <c r="B9" s="5" t="inlineStr">
        <is>
          <t>销售人员</t>
        </is>
      </c>
      <c r="C9" s="5" t="inlineStr">
        <is>
          <t>本周业绩</t>
        </is>
      </c>
      <c r="D9" s="5" t="inlineStr">
        <is>
          <t>目标</t>
        </is>
      </c>
      <c r="E9" s="5" t="inlineStr">
        <is>
          <t>完成率</t>
        </is>
      </c>
      <c r="F9" s="5" t="inlineStr">
        <is>
          <t>备注</t>
        </is>
      </c>
    </row>
    <row r="10">
      <c r="A10" s="7" t="n">
        <v>10</v>
      </c>
      <c r="B10" s="6" t="inlineStr">
        <is>
          <t>张三</t>
        </is>
      </c>
      <c r="C10" s="7" t="n">
        <v>60000</v>
      </c>
      <c r="D10" s="7" t="n">
        <v>240000</v>
      </c>
      <c r="E10" s="8">
        <f>C11/D11</f>
        <v/>
      </c>
      <c r="F10" s="6" t="inlineStr"/>
    </row>
    <row r="11">
      <c r="A11" s="7" t="n">
        <v>11</v>
      </c>
      <c r="B11" s="6" t="inlineStr">
        <is>
          <t>李四</t>
        </is>
      </c>
      <c r="C11" s="7" t="n">
        <v>40800</v>
      </c>
      <c r="D11" s="7" t="n">
        <v>240000</v>
      </c>
      <c r="E11" s="8">
        <f>C12/D12</f>
        <v/>
      </c>
      <c r="F11" s="6" t="inlineStr"/>
    </row>
    <row r="12">
      <c r="A12" s="7" t="n">
        <v>12</v>
      </c>
      <c r="B12" s="6" t="inlineStr">
        <is>
          <t>王五</t>
        </is>
      </c>
      <c r="C12" s="7" t="n">
        <v>21600</v>
      </c>
      <c r="D12" s="7" t="n">
        <v>240000</v>
      </c>
      <c r="E12" s="8">
        <f>C13/D13</f>
        <v/>
      </c>
      <c r="F12" s="6" t="inlineStr"/>
    </row>
    <row r="13">
      <c r="A13" s="7" t="n">
        <v>13</v>
      </c>
      <c r="B13" s="6" t="inlineStr">
        <is>
          <t>赵六</t>
        </is>
      </c>
      <c r="C13" s="7" t="n">
        <v>2400</v>
      </c>
      <c r="D13" s="7" t="n">
        <v>240000</v>
      </c>
      <c r="E13" s="8">
        <f>C14/D14</f>
        <v/>
      </c>
      <c r="F13" s="6" t="inlineStr"/>
    </row>
    <row r="14">
      <c r="A14" s="7" t="n">
        <v>14</v>
      </c>
      <c r="B14" s="6" t="inlineStr">
        <is>
          <t>孙七</t>
        </is>
      </c>
      <c r="C14" s="7" t="n">
        <v>-16800</v>
      </c>
      <c r="D14" s="7" t="n">
        <v>240000</v>
      </c>
      <c r="E14" s="8">
        <f>C15/D15</f>
        <v/>
      </c>
      <c r="F14" s="6" t="inlineStr"/>
    </row>
    <row r="15"/>
    <row r="16"/>
    <row r="17">
      <c r="A17" s="4" t="inlineStr">
        <is>
          <t>三、核心 KPI 明细</t>
        </is>
      </c>
    </row>
    <row r="18">
      <c r="A18" s="5" t="inlineStr">
        <is>
          <t>序号</t>
        </is>
      </c>
      <c r="B18" s="5" t="inlineStr">
        <is>
          <t>KPI 指标</t>
        </is>
      </c>
      <c r="C18" s="5" t="inlineStr">
        <is>
          <t>单位</t>
        </is>
      </c>
      <c r="D18" s="5" t="inlineStr">
        <is>
          <t>权重</t>
        </is>
      </c>
      <c r="E18" s="5" t="inlineStr">
        <is>
          <t>目标值</t>
        </is>
      </c>
      <c r="F18" s="5" t="inlineStr">
        <is>
          <t>实际值</t>
        </is>
      </c>
      <c r="G18" s="5" t="inlineStr">
        <is>
          <t>达成率</t>
        </is>
      </c>
      <c r="H18" s="5" t="inlineStr">
        <is>
          <t>得分</t>
        </is>
      </c>
      <c r="I18" s="5" t="inlineStr">
        <is>
          <t>备注</t>
        </is>
      </c>
    </row>
    <row r="19">
      <c r="A19" s="7" t="n">
        <v>1</v>
      </c>
      <c r="B19" s="6" t="inlineStr">
        <is>
          <t>新增 ARR</t>
        </is>
      </c>
      <c r="C19" s="6" t="inlineStr">
        <is>
          <t>元</t>
        </is>
      </c>
      <c r="D19" s="9" t="n">
        <v>0.3</v>
      </c>
      <c r="E19" s="7" t="n">
        <v>1200000</v>
      </c>
      <c r="F19" s="7" t="n">
        <v>1080000</v>
      </c>
      <c r="G19" s="8">
        <f>F20/E20</f>
        <v/>
      </c>
      <c r="H19" s="10">
        <f>G20*D20*100</f>
        <v/>
      </c>
      <c r="I19" s="6" t="inlineStr"/>
    </row>
    <row r="20">
      <c r="A20" s="7" t="n">
        <v>2</v>
      </c>
      <c r="B20" s="6" t="inlineStr">
        <is>
          <t>客户签约数量</t>
        </is>
      </c>
      <c r="C20" s="6" t="inlineStr">
        <is>
          <t>家</t>
        </is>
      </c>
      <c r="D20" s="9" t="n">
        <v>0.2</v>
      </c>
      <c r="E20" s="7" t="n">
        <v>35</v>
      </c>
      <c r="F20" s="7" t="n">
        <v>33.25</v>
      </c>
      <c r="G20" s="8">
        <f>F21/E21</f>
        <v/>
      </c>
      <c r="H20" s="10">
        <f>G21*D21*100</f>
        <v/>
      </c>
      <c r="I20" s="6" t="inlineStr"/>
    </row>
    <row r="21">
      <c r="A21" s="7" t="n">
        <v>3</v>
      </c>
      <c r="B21" s="6" t="inlineStr">
        <is>
          <t>回款金额</t>
        </is>
      </c>
      <c r="C21" s="6" t="inlineStr">
        <is>
          <t>元</t>
        </is>
      </c>
      <c r="D21" s="9" t="n">
        <v>0.2</v>
      </c>
      <c r="E21" s="7" t="n">
        <v>1000000</v>
      </c>
      <c r="F21" s="7" t="n">
        <v>850000</v>
      </c>
      <c r="G21" s="8">
        <f>F22/E22</f>
        <v/>
      </c>
      <c r="H21" s="10">
        <f>G22*D22*100</f>
        <v/>
      </c>
      <c r="I21" s="6" t="inlineStr"/>
    </row>
    <row r="22">
      <c r="A22" s="7" t="n">
        <v>4</v>
      </c>
      <c r="B22" s="6" t="inlineStr">
        <is>
          <t>商机转化率</t>
        </is>
      </c>
      <c r="C22" s="6" t="inlineStr">
        <is>
          <t>%</t>
        </is>
      </c>
      <c r="D22" s="9" t="n">
        <v>0.15</v>
      </c>
      <c r="E22" s="7" t="n">
        <v>25</v>
      </c>
      <c r="F22" s="7" t="n">
        <v>22.5</v>
      </c>
      <c r="G22" s="8">
        <f>F23/E23</f>
        <v/>
      </c>
      <c r="H22" s="10">
        <f>G23*D23*100</f>
        <v/>
      </c>
      <c r="I22" s="6" t="inlineStr"/>
    </row>
    <row r="23">
      <c r="A23" s="7" t="n">
        <v>5</v>
      </c>
      <c r="B23" s="6" t="inlineStr">
        <is>
          <t>客户续约率</t>
        </is>
      </c>
      <c r="C23" s="6" t="inlineStr">
        <is>
          <t>%</t>
        </is>
      </c>
      <c r="D23" s="9" t="n">
        <v>0.1</v>
      </c>
      <c r="E23" s="7" t="n">
        <v>90</v>
      </c>
      <c r="F23" s="7" t="n">
        <v>85.5</v>
      </c>
      <c r="G23" s="8">
        <f>F24/E24</f>
        <v/>
      </c>
      <c r="H23" s="10">
        <f>G24*D24*100</f>
        <v/>
      </c>
      <c r="I23" s="6" t="inlineStr"/>
    </row>
    <row r="24">
      <c r="A24" s="7" t="n">
        <v>6</v>
      </c>
      <c r="B24" s="6" t="inlineStr">
        <is>
          <t>销售预测准确率</t>
        </is>
      </c>
      <c r="C24" s="6" t="inlineStr">
        <is>
          <t>%</t>
        </is>
      </c>
      <c r="D24" s="9" t="n">
        <v>0.05</v>
      </c>
      <c r="E24" s="7" t="n">
        <v>85</v>
      </c>
      <c r="F24" s="7" t="n">
        <v>72.25</v>
      </c>
      <c r="G24" s="8">
        <f>F25/E25</f>
        <v/>
      </c>
      <c r="H24" s="10">
        <f>G25*D25*100</f>
        <v/>
      </c>
      <c r="I24" s="6" t="inlineStr"/>
    </row>
    <row r="25">
      <c r="A25" s="11" t="inlineStr">
        <is>
          <t>合计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2">
        <f>SUM(H19:H24)</f>
        <v/>
      </c>
      <c r="I25" s="11" t="n"/>
    </row>
  </sheetData>
  <mergeCells count="3">
    <mergeCell ref="A8:F8"/>
    <mergeCell ref="A17:I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26" customWidth="1" min="8" max="8"/>
    <col width="26" customWidth="1" min="9" max="9"/>
    <col width="24" customWidth="1" min="10" max="10"/>
  </cols>
  <sheetData>
    <row r="1">
      <c r="A1" s="4" t="inlineStr">
        <is>
          <t>重点商机最新进展</t>
        </is>
      </c>
    </row>
    <row r="2">
      <c r="A2" s="5" t="inlineStr">
        <is>
          <t>序号</t>
        </is>
      </c>
      <c r="B2" s="5" t="inlineStr">
        <is>
          <t>客户名称</t>
        </is>
      </c>
      <c r="C2" s="5" t="inlineStr">
        <is>
          <t>行业</t>
        </is>
      </c>
      <c r="D2" s="5" t="inlineStr">
        <is>
          <t>阶段</t>
        </is>
      </c>
      <c r="E2" s="5" t="inlineStr">
        <is>
          <t>预计金额(元)</t>
        </is>
      </c>
      <c r="F2" s="5" t="inlineStr">
        <is>
          <t>预计成交时间</t>
        </is>
      </c>
      <c r="G2" s="5" t="inlineStr">
        <is>
          <t>负责人</t>
        </is>
      </c>
      <c r="H2" s="5" t="inlineStr">
        <is>
          <t>本周进展</t>
        </is>
      </c>
      <c r="I2" s="5" t="inlineStr">
        <is>
          <t>下一步动作</t>
        </is>
      </c>
      <c r="J2" s="5" t="inlineStr">
        <is>
          <t>风险/阻碍</t>
        </is>
      </c>
    </row>
    <row r="3">
      <c r="A3" s="7" t="n">
        <v>1</v>
      </c>
      <c r="B3" s="6" t="inlineStr">
        <is>
          <t>华智科技</t>
        </is>
      </c>
      <c r="C3" s="6" t="inlineStr">
        <is>
          <t>互联网</t>
        </is>
      </c>
      <c r="D3" s="6" t="inlineStr">
        <is>
          <t>方案演示</t>
        </is>
      </c>
      <c r="E3" s="13" t="n">
        <v>120000</v>
      </c>
      <c r="F3" s="6" t="inlineStr">
        <is>
          <t>2026-08-15</t>
        </is>
      </c>
      <c r="G3" s="6" t="inlineStr">
        <is>
          <t>张三</t>
        </is>
      </c>
      <c r="H3" s="6" t="inlineStr"/>
      <c r="I3" s="6" t="inlineStr"/>
      <c r="J3" s="6" t="inlineStr"/>
    </row>
    <row r="4">
      <c r="A4" s="7" t="n">
        <v>2</v>
      </c>
      <c r="B4" s="6" t="inlineStr">
        <is>
          <t>锐行零售</t>
        </is>
      </c>
      <c r="C4" s="6" t="inlineStr">
        <is>
          <t>零售</t>
        </is>
      </c>
      <c r="D4" s="6" t="inlineStr">
        <is>
          <t>商务谈判</t>
        </is>
      </c>
      <c r="E4" s="13" t="n">
        <v>80000</v>
      </c>
      <c r="F4" s="6" t="inlineStr">
        <is>
          <t>2026-08-20</t>
        </is>
      </c>
      <c r="G4" s="6" t="inlineStr">
        <is>
          <t>李四</t>
        </is>
      </c>
      <c r="H4" s="6" t="inlineStr"/>
      <c r="I4" s="6" t="inlineStr"/>
      <c r="J4" s="6" t="inlineStr"/>
    </row>
    <row r="5">
      <c r="A5" s="7" t="n">
        <v>3</v>
      </c>
      <c r="B5" s="6" t="inlineStr">
        <is>
          <t>远景制造</t>
        </is>
      </c>
      <c r="C5" s="6" t="inlineStr">
        <is>
          <t>制造业</t>
        </is>
      </c>
      <c r="D5" s="6" t="inlineStr">
        <is>
          <t>需求沟通</t>
        </is>
      </c>
      <c r="E5" s="13" t="n">
        <v>200000</v>
      </c>
      <c r="F5" s="6" t="inlineStr">
        <is>
          <t>2026-09-01</t>
        </is>
      </c>
      <c r="G5" s="6" t="inlineStr">
        <is>
          <t>王五</t>
        </is>
      </c>
      <c r="H5" s="6" t="inlineStr"/>
      <c r="I5" s="6" t="inlineStr"/>
      <c r="J5" s="6" t="inlineStr"/>
    </row>
    <row r="6">
      <c r="A6" s="7" t="n">
        <v>4</v>
      </c>
      <c r="B6" s="6" t="inlineStr">
        <is>
          <t>云帆 SaaS</t>
        </is>
      </c>
      <c r="C6" s="6" t="inlineStr">
        <is>
          <t>企业服务</t>
        </is>
      </c>
      <c r="D6" s="6" t="inlineStr">
        <is>
          <t>合同签署</t>
        </is>
      </c>
      <c r="E6" s="13" t="n">
        <v>150000</v>
      </c>
      <c r="F6" s="6" t="inlineStr">
        <is>
          <t>2026-08-10</t>
        </is>
      </c>
      <c r="G6" s="6" t="inlineStr">
        <is>
          <t>赵六</t>
        </is>
      </c>
      <c r="H6" s="6" t="inlineStr"/>
      <c r="I6" s="6" t="inlineStr"/>
      <c r="J6" s="6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26" customWidth="1" min="4" max="4"/>
    <col width="26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本周遇到的问题分析</t>
        </is>
      </c>
    </row>
    <row r="2">
      <c r="A2" s="5" t="inlineStr">
        <is>
          <t>序号</t>
        </is>
      </c>
      <c r="B2" s="5" t="inlineStr">
        <is>
          <t>问题描述</t>
        </is>
      </c>
      <c r="C2" s="5" t="inlineStr">
        <is>
          <t>影响范围</t>
        </is>
      </c>
      <c r="D2" s="5" t="inlineStr">
        <is>
          <t>根因分析</t>
        </is>
      </c>
      <c r="E2" s="5" t="inlineStr">
        <is>
          <t>解决方案</t>
        </is>
      </c>
      <c r="F2" s="5" t="inlineStr">
        <is>
          <t>负责人</t>
        </is>
      </c>
      <c r="G2" s="5" t="inlineStr">
        <is>
          <t>截止日期</t>
        </is>
      </c>
      <c r="H2" s="5" t="inlineStr">
        <is>
          <t>状态</t>
        </is>
      </c>
    </row>
    <row r="3">
      <c r="A3" s="7" t="n">
        <v>1</v>
      </c>
      <c r="B3" s="6" t="inlineStr">
        <is>
          <t>竞品价格压力</t>
        </is>
      </c>
      <c r="C3" s="6" t="inlineStr">
        <is>
          <t>整体签单周期</t>
        </is>
      </c>
      <c r="D3" s="6" t="inlineStr">
        <is>
          <t>竞品降价</t>
        </is>
      </c>
      <c r="E3" s="6" t="inlineStr">
        <is>
          <t>强化价值销售话术</t>
        </is>
      </c>
      <c r="F3" s="6" t="inlineStr">
        <is>
          <t>张三</t>
        </is>
      </c>
      <c r="G3" s="6" t="inlineStr">
        <is>
          <t>2026-07-25</t>
        </is>
      </c>
      <c r="H3" s="6" t="inlineStr">
        <is>
          <t>进行中</t>
        </is>
      </c>
    </row>
    <row r="4">
      <c r="A4" s="7" t="n">
        <v>2</v>
      </c>
      <c r="B4" s="6" t="inlineStr">
        <is>
          <t>客户需求变更</t>
        </is>
      </c>
      <c r="C4" s="6" t="inlineStr">
        <is>
          <t>重点项目 A</t>
        </is>
      </c>
      <c r="D4" s="6" t="inlineStr">
        <is>
          <t>需求边界不清</t>
        </is>
      </c>
      <c r="E4" s="6" t="inlineStr">
        <is>
          <t>召开需求确认会</t>
        </is>
      </c>
      <c r="F4" s="6" t="inlineStr">
        <is>
          <t>李四</t>
        </is>
      </c>
      <c r="G4" s="6" t="inlineStr">
        <is>
          <t>2026-07-22</t>
        </is>
      </c>
      <c r="H4" s="6" t="inlineStr">
        <is>
          <t>待跟进</t>
        </is>
      </c>
    </row>
    <row r="5">
      <c r="A5" s="7" t="n">
        <v>3</v>
      </c>
      <c r="B5" s="6" t="inlineStr">
        <is>
          <t>内部交付延迟</t>
        </is>
      </c>
      <c r="C5" s="6" t="inlineStr">
        <is>
          <t>客户交付</t>
        </is>
      </c>
      <c r="D5" s="6" t="inlineStr">
        <is>
          <t>资源不足</t>
        </is>
      </c>
      <c r="E5" s="6" t="inlineStr">
        <is>
          <t>协调产研资源</t>
        </is>
      </c>
      <c r="F5" s="6" t="inlineStr">
        <is>
          <t>王五</t>
        </is>
      </c>
      <c r="G5" s="6" t="inlineStr">
        <is>
          <t>2026-07-30</t>
        </is>
      </c>
      <c r="H5" s="6" t="inlineStr">
        <is>
          <t>待启动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5" customWidth="1" min="4" max="4"/>
    <col width="10" customWidth="1" min="5" max="5"/>
    <col width="10" customWidth="1" min="6" max="6"/>
    <col width="12" customWidth="1" min="7" max="7"/>
    <col width="10" customWidth="1" min="8" max="8"/>
    <col width="24" customWidth="1" min="9" max="9"/>
  </cols>
  <sheetData>
    <row r="1">
      <c r="A1" s="4" t="inlineStr">
        <is>
          <t>下周工作重点计划</t>
        </is>
      </c>
    </row>
    <row r="2">
      <c r="A2" s="5" t="inlineStr">
        <is>
          <t>序号</t>
        </is>
      </c>
      <c r="B2" s="5" t="inlineStr">
        <is>
          <t>工作事项</t>
        </is>
      </c>
      <c r="C2" s="5" t="inlineStr">
        <is>
          <t>优先级</t>
        </is>
      </c>
      <c r="D2" s="5" t="inlineStr">
        <is>
          <t>目标/指标</t>
        </is>
      </c>
      <c r="E2" s="5" t="inlineStr">
        <is>
          <t>负责人</t>
        </is>
      </c>
      <c r="F2" s="5" t="inlineStr">
        <is>
          <t>协作方</t>
        </is>
      </c>
      <c r="G2" s="5" t="inlineStr">
        <is>
          <t>截止日期</t>
        </is>
      </c>
      <c r="H2" s="5" t="inlineStr">
        <is>
          <t>所需资源</t>
        </is>
      </c>
      <c r="I2" s="5" t="inlineStr">
        <is>
          <t>完成标准</t>
        </is>
      </c>
    </row>
    <row r="3">
      <c r="A3" s="7" t="n">
        <v>1</v>
      </c>
      <c r="B3" s="6" t="inlineStr">
        <is>
          <t>重点客户攻坚</t>
        </is>
      </c>
      <c r="C3" s="6" t="inlineStr">
        <is>
          <t>P0</t>
        </is>
      </c>
      <c r="D3" s="6" t="inlineStr">
        <is>
          <t>签约 3 家头部客户</t>
        </is>
      </c>
      <c r="E3" s="6" t="inlineStr">
        <is>
          <t>张三</t>
        </is>
      </c>
      <c r="F3" s="6" t="inlineStr">
        <is>
          <t>售前/产研</t>
        </is>
      </c>
      <c r="G3" s="6" t="inlineStr">
        <is>
          <t>2026-07-31</t>
        </is>
      </c>
      <c r="H3" s="6" t="inlineStr">
        <is>
          <t>方案支持</t>
        </is>
      </c>
      <c r="I3" s="6" t="inlineStr">
        <is>
          <t>合同签署</t>
        </is>
      </c>
    </row>
    <row r="4">
      <c r="A4" s="7" t="n">
        <v>2</v>
      </c>
      <c r="B4" s="6" t="inlineStr">
        <is>
          <t>新行业拓展</t>
        </is>
      </c>
      <c r="C4" s="6" t="inlineStr">
        <is>
          <t>P1</t>
        </is>
      </c>
      <c r="D4" s="6" t="inlineStr">
        <is>
          <t>完成 2 场行业沙龙</t>
        </is>
      </c>
      <c r="E4" s="6" t="inlineStr">
        <is>
          <t>李四</t>
        </is>
      </c>
      <c r="F4" s="6" t="inlineStr">
        <is>
          <t>市场</t>
        </is>
      </c>
      <c r="G4" s="6" t="inlineStr">
        <is>
          <t>2026-08-05</t>
        </is>
      </c>
      <c r="H4" s="6" t="inlineStr">
        <is>
          <t>市场预算</t>
        </is>
      </c>
      <c r="I4" s="6" t="inlineStr">
        <is>
          <t>获取 50 条线索</t>
        </is>
      </c>
    </row>
    <row r="5">
      <c r="A5" s="7" t="n">
        <v>3</v>
      </c>
      <c r="B5" s="6" t="inlineStr">
        <is>
          <t>销售培训</t>
        </is>
      </c>
      <c r="C5" s="6" t="inlineStr">
        <is>
          <t>P1</t>
        </is>
      </c>
      <c r="D5" s="6" t="inlineStr">
        <is>
          <t>人均培训 4 小时</t>
        </is>
      </c>
      <c r="E5" s="6" t="inlineStr">
        <is>
          <t>王五</t>
        </is>
      </c>
      <c r="F5" s="6" t="inlineStr">
        <is>
          <t>HR</t>
        </is>
      </c>
      <c r="G5" s="6" t="inlineStr">
        <is>
          <t>2026-08-02</t>
        </is>
      </c>
      <c r="H5" s="6" t="inlineStr">
        <is>
          <t>培训场地</t>
        </is>
      </c>
      <c r="I5" s="6" t="inlineStr">
        <is>
          <t>培训覆盖率 100%</t>
        </is>
      </c>
    </row>
    <row r="6">
      <c r="A6" s="7" t="n">
        <v>4</v>
      </c>
      <c r="B6" s="6" t="inlineStr">
        <is>
          <t>流程优化</t>
        </is>
      </c>
      <c r="C6" s="6" t="inlineStr">
        <is>
          <t>P2</t>
        </is>
      </c>
      <c r="D6" s="6" t="inlineStr">
        <is>
          <t>CRM 字段补齐率 95%</t>
        </is>
      </c>
      <c r="E6" s="6" t="inlineStr">
        <is>
          <t>赵六</t>
        </is>
      </c>
      <c r="F6" s="6" t="inlineStr">
        <is>
          <t>运营</t>
        </is>
      </c>
      <c r="G6" s="6" t="inlineStr">
        <is>
          <t>2026-08-10</t>
        </is>
      </c>
      <c r="H6" s="6" t="inlineStr">
        <is>
          <t>CRM 权限</t>
        </is>
      </c>
      <c r="I6" s="6" t="inlineStr">
        <is>
          <t>周会通报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2026-07-20T09:57:12Z</dcterms:created>
  <dcterms:modified xmlns:dcterms="http://purl.org/dc/terms/" xmlns:xsi="http://www.w3.org/2001/XMLSchema-instance" xsi:type="dcterms:W3CDTF">2026-07-20T09:57:12Z</dcterms:modified>
</cp:coreProperties>
</file>